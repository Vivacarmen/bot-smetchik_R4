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КОММЕРЧЕСКОЕ ПРЕДЛОЖЕНИЕ: R4 Event Design</t>
        </is>
      </c>
    </row>
    <row r="4">
      <c r="B4" s="2" t="inlineStr">
        <is>
          <t>Заказчик:</t>
        </is>
      </c>
      <c r="C4" t="inlineStr">
        <is>
          <t>Марина +79037353525 (МИ)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C10" s="4" t="inlineStr">
        <is>
          <t>ПРОГРАММА И КОНТЕНТ</t>
        </is>
      </c>
    </row>
    <row r="11">
      <c r="B11" t="n">
        <v>1</v>
      </c>
      <c r="C11" t="inlineStr">
        <is>
          <t>Ведущий мероприятия (Хост)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</row>
    <row r="12">
      <c r="B12" t="n">
        <v>2</v>
      </c>
      <c r="C12" t="inlineStr">
        <is>
          <t>Реквизит для тимбилдинга</t>
        </is>
      </c>
      <c r="D12" t="inlineStr">
        <is>
          <t>компл.</t>
        </is>
      </c>
      <c r="E12" t="n">
        <v>1</v>
      </c>
      <c r="F12" t="n">
        <v>1</v>
      </c>
      <c r="G12" s="5" t="n">
        <v>50000</v>
      </c>
      <c r="H12" s="5">
        <f>E12*F12*G12</f>
        <v/>
      </c>
    </row>
    <row r="13">
      <c r="B13" t="n">
        <v>3</v>
      </c>
      <c r="C13" t="inlineStr">
        <is>
          <t>Тимлидеры (25/10 = 3 чел.)</t>
        </is>
      </c>
      <c r="D13" t="inlineStr">
        <is>
          <t>чел.</t>
        </is>
      </c>
      <c r="E13" t="n">
        <v>3</v>
      </c>
      <c r="F13" t="n">
        <v>1</v>
      </c>
      <c r="G13" s="5" t="n">
        <v>36000</v>
      </c>
      <c r="H13" s="5">
        <f>E13*F13*G13</f>
        <v/>
      </c>
    </row>
    <row r="14">
      <c r="B14" t="n">
        <v>4</v>
      </c>
      <c r="C14" t="inlineStr">
        <is>
          <t>Распечатка карты (для игры)</t>
        </is>
      </c>
      <c r="D14" t="inlineStr">
        <is>
          <t>шт.</t>
        </is>
      </c>
      <c r="E14" t="n">
        <v>1</v>
      </c>
      <c r="F14" t="n">
        <v>1</v>
      </c>
      <c r="G14" s="5" t="n">
        <v>0</v>
      </c>
      <c r="H14" s="5">
        <f>E14*F14*G14</f>
        <v/>
      </c>
    </row>
    <row r="15">
      <c r="B15" t="n">
        <v>5</v>
      </c>
      <c r="C15" t="inlineStr">
        <is>
          <t>Приз для команды-победителя</t>
        </is>
      </c>
      <c r="D15" t="inlineStr">
        <is>
          <t>шт.</t>
        </is>
      </c>
      <c r="E15" t="n">
        <v>1</v>
      </c>
      <c r="F15" t="n">
        <v>1</v>
      </c>
      <c r="G15" s="5" t="n">
        <v>0</v>
      </c>
      <c r="H15" s="5">
        <f>E15*F15*G15</f>
        <v/>
      </c>
    </row>
    <row r="16">
      <c r="C16" s="4" t="inlineStr">
        <is>
          <t>ПЛОЩАДКА И ЛОГИСТИКА</t>
        </is>
      </c>
    </row>
    <row r="17">
      <c r="B17" t="n">
        <v>6</v>
      </c>
      <c r="C17" t="inlineStr">
        <is>
          <t>Аренда территории "Лесная поляна" (30000 + 25300)</t>
        </is>
      </c>
      <c r="D17" t="inlineStr">
        <is>
          <t>усл.</t>
        </is>
      </c>
      <c r="E17" t="n">
        <v>1</v>
      </c>
      <c r="F17" t="n">
        <v>1</v>
      </c>
      <c r="G17" s="5" t="n">
        <v>37500</v>
      </c>
      <c r="H17" s="5">
        <f>E17*F17*G17</f>
        <v/>
      </c>
    </row>
    <row r="18">
      <c r="B18" t="n">
        <v>7</v>
      </c>
      <c r="C18" t="inlineStr">
        <is>
          <t>Монтаж-демонтаж программы и реквизита</t>
        </is>
      </c>
      <c r="D18" t="inlineStr">
        <is>
          <t>усл.</t>
        </is>
      </c>
      <c r="E18" t="n">
        <v>1</v>
      </c>
      <c r="F18" t="n">
        <v>1</v>
      </c>
      <c r="G18" s="5" t="n">
        <v>15000</v>
      </c>
      <c r="H18" s="5">
        <f>E18*F18*G18</f>
        <v/>
      </c>
    </row>
    <row r="19">
      <c r="B19" t="n">
        <v>8</v>
      </c>
      <c r="C19" t="inlineStr">
        <is>
          <t>Транспортные расходы (доставка персонала и реквизита)</t>
        </is>
      </c>
      <c r="D19" t="inlineStr">
        <is>
          <t>усл.</t>
        </is>
      </c>
      <c r="E19" t="n">
        <v>1</v>
      </c>
      <c r="F19" t="n">
        <v>1</v>
      </c>
      <c r="G19" s="5" t="n">
        <v>20000</v>
      </c>
      <c r="H19" s="5">
        <f>E19*F19*G19</f>
        <v/>
      </c>
    </row>
    <row r="20">
      <c r="C20" s="4" t="inlineStr">
        <is>
          <t>ТЕХНИЧЕСКОЕ ОБЕСПЕЧЕНИЕ</t>
        </is>
      </c>
    </row>
    <row r="21">
      <c r="B21" t="n">
        <v>9</v>
      </c>
      <c r="C21" t="inlineStr">
        <is>
          <t>Колонка и микрофон (мобильный комплект звука)</t>
        </is>
      </c>
      <c r="D21" t="inlineStr">
        <is>
          <t>компл.</t>
        </is>
      </c>
      <c r="E21" t="n">
        <v>1</v>
      </c>
      <c r="F21" t="n">
        <v>1</v>
      </c>
      <c r="G21" s="5" t="n">
        <v>10000</v>
      </c>
      <c r="H21" s="5">
        <f>E21*F21*G21</f>
        <v/>
      </c>
    </row>
    <row r="22">
      <c r="C22" s="4" t="inlineStr">
        <is>
          <t>УПРАВЛЕНИЕ И ПЕРСОНАЛ</t>
        </is>
      </c>
    </row>
    <row r="23">
      <c r="B23" t="n">
        <v>10</v>
      </c>
      <c r="C23" t="inlineStr">
        <is>
          <t>Руководитель проекта (Проектный менеджмент)</t>
        </is>
      </c>
      <c r="D23" t="inlineStr">
        <is>
          <t>чел.</t>
        </is>
      </c>
      <c r="E23" t="n">
        <v>1</v>
      </c>
      <c r="F23" t="n">
        <v>1</v>
      </c>
      <c r="G23" s="5" t="n">
        <v>30000</v>
      </c>
      <c r="H23" s="5">
        <f>E23*F23*G23</f>
        <v/>
      </c>
    </row>
    <row r="24">
      <c r="B24" t="n">
        <v>11</v>
      </c>
      <c r="C24" t="inlineStr">
        <is>
          <t>Координатор на площадке</t>
        </is>
      </c>
      <c r="D24" t="inlineStr">
        <is>
          <t>чел.</t>
        </is>
      </c>
      <c r="E24" t="n">
        <v>1</v>
      </c>
      <c r="F24" t="n">
        <v>1</v>
      </c>
      <c r="G24" s="5" t="n">
        <v>10000</v>
      </c>
      <c r="H24" s="5">
        <f>E24*F24*G24</f>
        <v/>
      </c>
    </row>
    <row r="25">
      <c r="B25" t="n">
        <v>12</v>
      </c>
      <c r="C25" t="inlineStr">
        <is>
          <t>Затраты на питание персонала</t>
        </is>
      </c>
      <c r="D25" t="inlineStr">
        <is>
          <t>усл.</t>
        </is>
      </c>
      <c r="E25" t="n">
        <v>1</v>
      </c>
      <c r="F25" t="n">
        <v>1</v>
      </c>
      <c r="G25" s="5" t="n">
        <v>0</v>
      </c>
      <c r="H25" s="5">
        <f>E25*F25*G25</f>
        <v/>
      </c>
    </row>
    <row r="26">
      <c r="C26" s="2" t="inlineStr">
        <is>
          <t>СУММА УСЛУГ (БЕЗ КОМИССИЙ)</t>
        </is>
      </c>
      <c r="D26" t="inlineStr"/>
      <c r="E26" t="n">
        <v>0</v>
      </c>
      <c r="F26" t="n">
        <v>0</v>
      </c>
      <c r="G26" s="5" t="n">
        <v>238500</v>
      </c>
      <c r="H26" s="5">
        <f>E26*F26*G26</f>
        <v/>
      </c>
    </row>
    <row r="27">
      <c r="C27" s="4" t="inlineStr">
        <is>
          <t>ИТОГИ</t>
        </is>
      </c>
    </row>
    <row r="28">
      <c r="C28" s="2" t="inlineStr">
        <is>
          <t>Агентское вознаграждение и накладные расходы (10% от суммы услуг)</t>
        </is>
      </c>
      <c r="D28" t="inlineStr">
        <is>
          <t>усл.</t>
        </is>
      </c>
      <c r="E28" t="n">
        <v>1</v>
      </c>
      <c r="F28" t="n">
        <v>1</v>
      </c>
      <c r="G28" s="5" t="n">
        <v>23850</v>
      </c>
      <c r="H28" s="5">
        <f>E28*F28*G28</f>
        <v/>
      </c>
    </row>
    <row r="29">
      <c r="C29" s="2" t="inlineStr">
        <is>
          <t>Налоги (10% от оборота: Сумма услуг + АВ / 0,9)</t>
        </is>
      </c>
      <c r="D29" t="inlineStr">
        <is>
          <t>усл.</t>
        </is>
      </c>
      <c r="E29" t="n">
        <v>1</v>
      </c>
      <c r="F29" t="n">
        <v>1</v>
      </c>
      <c r="G29" s="5" t="n">
        <v>29150</v>
      </c>
      <c r="H29" s="5">
        <f>E29*F29*G29</f>
        <v/>
      </c>
    </row>
    <row r="30">
      <c r="C30" s="2" t="inlineStr">
        <is>
          <t>ВСЕГО ЗА ТИМБИЛДИНГ (ИТОГОВАЯ СУММА)</t>
        </is>
      </c>
      <c r="D30" t="inlineStr"/>
      <c r="E30" t="n">
        <v>0</v>
      </c>
      <c r="F30" t="n">
        <v>0</v>
      </c>
      <c r="G30" s="5" t="n">
        <v>291500</v>
      </c>
      <c r="H30" s="5">
        <f>E30*F30*G30</f>
        <v/>
      </c>
    </row>
    <row r="32">
      <c r="G32" s="6" t="inlineStr">
        <is>
          <t>ИТОГО К ОПЛАТЕ:</t>
        </is>
      </c>
      <c r="H32" s="7">
        <f>SUM(H10:H30)</f>
        <v/>
      </c>
    </row>
  </sheetData>
  <mergeCells count="6">
    <mergeCell ref="C10:H10"/>
    <mergeCell ref="C16:H16"/>
    <mergeCell ref="C27:H27"/>
    <mergeCell ref="C22:H22"/>
    <mergeCell ref="B2:H2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2026-02-11T10:50:36Z</dcterms:created>
  <dcterms:modified xsi:type="dcterms:W3CDTF">2026-02-11T10:50:36Z</dcterms:modified>
</cp:coreProperties>
</file>