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pivotButton="0" quotePrefix="0" xfId="0"/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2"/>
  <sheetViews>
    <sheetView workbookViewId="0">
      <selection activeCell="A1" sqref="A1"/>
    </sheetView>
  </sheetViews>
  <sheetFormatPr baseColWidth="8" defaultRowHeight="15"/>
  <cols>
    <col width="5" customWidth="1" min="2" max="2"/>
    <col width="55" customWidth="1" min="3" max="3"/>
    <col width="18" customWidth="1" min="8" max="8"/>
  </cols>
  <sheetData>
    <row r="2">
      <c r="B2" s="1" t="inlineStr">
        <is>
          <t>КОММЕРЧЕСКОЕ ПРЕДЛОЖЕНИЕ: R4 Event Design</t>
        </is>
      </c>
    </row>
    <row r="4">
      <c r="B4" s="2" t="inlineStr">
        <is>
          <t>Заказчик:</t>
        </is>
      </c>
      <c r="C4" t="inlineStr">
        <is>
          <t>Марина +79037353525 (R4)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15 апреля 2026</t>
        </is>
      </c>
    </row>
    <row r="7">
      <c r="B7" s="2" t="inlineStr">
        <is>
          <t>Кол-во гостей:</t>
        </is>
      </c>
      <c r="C7" t="inlineStr">
        <is>
          <t>65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</t>
        </is>
      </c>
    </row>
    <row r="10">
      <c r="C10" s="4" t="inlineStr">
        <is>
          <t>ПРОГРАММА И КОНТЕНТ</t>
        </is>
      </c>
    </row>
    <row r="11">
      <c r="B11" t="n">
        <v>1</v>
      </c>
      <c r="C11" t="inlineStr">
        <is>
          <t>Ведущий мероприятия (Хост)</t>
        </is>
      </c>
      <c r="D11" t="inlineStr">
        <is>
          <t>чел.</t>
        </is>
      </c>
      <c r="E11" t="n">
        <v>1</v>
      </c>
      <c r="F11" t="n">
        <v>1</v>
      </c>
      <c r="G11" s="5" t="n">
        <v>30000</v>
      </c>
      <c r="H11" s="5">
        <f>E11*F11*G11</f>
        <v/>
      </c>
    </row>
    <row r="12">
      <c r="B12" t="n">
        <v>2</v>
      </c>
      <c r="C12" t="inlineStr">
        <is>
          <t>Реквизит для тимбилдинга</t>
        </is>
      </c>
      <c r="D12" t="inlineStr">
        <is>
          <t>компл.</t>
        </is>
      </c>
      <c r="E12" t="n">
        <v>1</v>
      </c>
      <c r="F12" t="n">
        <v>1</v>
      </c>
      <c r="G12" s="5" t="n">
        <v>50000</v>
      </c>
      <c r="H12" s="5">
        <f>E12*F12*G12</f>
        <v/>
      </c>
    </row>
    <row r="13">
      <c r="B13" t="n">
        <v>3</v>
      </c>
      <c r="C13" t="inlineStr">
        <is>
          <t>Приз для команды-победителя</t>
        </is>
      </c>
      <c r="D13" t="inlineStr">
        <is>
          <t>шт.</t>
        </is>
      </c>
      <c r="E13" t="n">
        <v>1</v>
      </c>
      <c r="F13" t="n">
        <v>1</v>
      </c>
      <c r="G13" s="5" t="n">
        <v>0</v>
      </c>
      <c r="H13" s="5">
        <f>E13*F13*G13</f>
        <v/>
      </c>
    </row>
    <row r="14">
      <c r="B14" t="n">
        <v>4</v>
      </c>
      <c r="C14" t="inlineStr">
        <is>
          <t>Распечатка карты (65 участников)</t>
        </is>
      </c>
      <c r="D14" t="inlineStr">
        <is>
          <t>усл.</t>
        </is>
      </c>
      <c r="E14" t="n">
        <v>1</v>
      </c>
      <c r="F14" t="n">
        <v>1</v>
      </c>
      <c r="G14" s="5" t="n">
        <v>0</v>
      </c>
      <c r="H14" s="5">
        <f>E14*F14*G14</f>
        <v/>
      </c>
    </row>
    <row r="15">
      <c r="C15" s="4" t="inlineStr">
        <is>
          <t>ПЕРСОНАЛ И КООРДИНАЦИЯ</t>
        </is>
      </c>
    </row>
    <row r="16">
      <c r="B16" t="n">
        <v>5</v>
      </c>
      <c r="C16" t="inlineStr">
        <is>
          <t>Тимлидеры (7 человек)</t>
        </is>
      </c>
      <c r="D16" t="inlineStr">
        <is>
          <t>чел.</t>
        </is>
      </c>
      <c r="E16" t="n">
        <v>7</v>
      </c>
      <c r="F16" t="n">
        <v>1</v>
      </c>
      <c r="G16" s="5" t="n">
        <v>84000</v>
      </c>
      <c r="H16" s="5">
        <f>E16*F16*G16</f>
        <v/>
      </c>
    </row>
    <row r="17">
      <c r="B17" t="n">
        <v>6</v>
      </c>
      <c r="C17" t="inlineStr">
        <is>
          <t>Руководитель проекта</t>
        </is>
      </c>
      <c r="D17" t="inlineStr">
        <is>
          <t>чел.</t>
        </is>
      </c>
      <c r="E17" t="n">
        <v>1</v>
      </c>
      <c r="F17" t="n">
        <v>1</v>
      </c>
      <c r="G17" s="5" t="n">
        <v>30000</v>
      </c>
      <c r="H17" s="5">
        <f>E17*F17*G17</f>
        <v/>
      </c>
    </row>
    <row r="18">
      <c r="B18" t="n">
        <v>7</v>
      </c>
      <c r="C18" t="inlineStr">
        <is>
          <t>Координатор на площадке</t>
        </is>
      </c>
      <c r="D18" t="inlineStr">
        <is>
          <t>чел.</t>
        </is>
      </c>
      <c r="E18" t="n">
        <v>1</v>
      </c>
      <c r="F18" t="n">
        <v>1</v>
      </c>
      <c r="G18" s="5" t="n">
        <v>10000</v>
      </c>
      <c r="H18" s="5">
        <f>E18*F18*G18</f>
        <v/>
      </c>
    </row>
    <row r="19">
      <c r="B19" t="n">
        <v>8</v>
      </c>
      <c r="C19" t="inlineStr">
        <is>
          <t>Питание персонала</t>
        </is>
      </c>
      <c r="D19" t="inlineStr">
        <is>
          <t>усл.</t>
        </is>
      </c>
      <c r="E19" t="n">
        <v>1</v>
      </c>
      <c r="F19" t="n">
        <v>1</v>
      </c>
      <c r="G19" s="5" t="n">
        <v>0</v>
      </c>
      <c r="H19" s="5">
        <f>E19*F19*G19</f>
        <v/>
      </c>
    </row>
    <row r="20">
      <c r="C20" s="4" t="inlineStr">
        <is>
          <t>ТЕХНИЧЕСКОЕ ОБЕСПЕЧЕНИЕ</t>
        </is>
      </c>
    </row>
    <row r="21">
      <c r="B21" t="n">
        <v>9</v>
      </c>
      <c r="C21" t="inlineStr">
        <is>
          <t>Колонка и микрофон</t>
        </is>
      </c>
      <c r="D21" t="inlineStr">
        <is>
          <t>компл.</t>
        </is>
      </c>
      <c r="E21" t="n">
        <v>1</v>
      </c>
      <c r="F21" t="n">
        <v>1</v>
      </c>
      <c r="G21" s="5" t="n">
        <v>10000</v>
      </c>
      <c r="H21" s="5">
        <f>E21*F21*G21</f>
        <v/>
      </c>
    </row>
    <row r="22">
      <c r="B22" t="n">
        <v>10</v>
      </c>
      <c r="C22" t="inlineStr">
        <is>
          <t>Монтаж/Демонтаж оборудования</t>
        </is>
      </c>
      <c r="D22" t="inlineStr">
        <is>
          <t>усл.</t>
        </is>
      </c>
      <c r="E22" t="n">
        <v>1</v>
      </c>
      <c r="F22" t="n">
        <v>1</v>
      </c>
      <c r="G22" s="5" t="n">
        <v>15000</v>
      </c>
      <c r="H22" s="5">
        <f>E22*F22*G22</f>
        <v/>
      </c>
    </row>
    <row r="23">
      <c r="C23" s="4" t="inlineStr">
        <is>
          <t>ЛОКАЦИЯ И ЛОГИСТИКА</t>
        </is>
      </c>
    </row>
    <row r="24">
      <c r="B24" t="n">
        <v>11</v>
      </c>
      <c r="C24" t="inlineStr">
        <is>
          <t>Аренда территории Лесная поляна</t>
        </is>
      </c>
      <c r="D24" t="inlineStr">
        <is>
          <t>усл.</t>
        </is>
      </c>
      <c r="E24" t="n">
        <v>1</v>
      </c>
      <c r="F24" t="n">
        <v>1</v>
      </c>
      <c r="G24" s="5" t="n">
        <v>49500</v>
      </c>
      <c r="H24" s="5">
        <f>E24*F24*G24</f>
        <v/>
      </c>
    </row>
    <row r="25">
      <c r="B25" t="n">
        <v>12</v>
      </c>
      <c r="C25" t="inlineStr">
        <is>
          <t>Транспортные расходы (персонал/реквизит)</t>
        </is>
      </c>
      <c r="D25" t="inlineStr">
        <is>
          <t>усл.</t>
        </is>
      </c>
      <c r="E25" t="n">
        <v>1</v>
      </c>
      <c r="F25" t="n">
        <v>1</v>
      </c>
      <c r="G25" s="5" t="n">
        <v>20000</v>
      </c>
      <c r="H25" s="5">
        <f>E25*F25*G25</f>
        <v/>
      </c>
    </row>
    <row r="26">
      <c r="C26" s="4" t="inlineStr">
        <is>
          <t>ИТОГИ</t>
        </is>
      </c>
    </row>
    <row r="27">
      <c r="C27" s="2" t="inlineStr">
        <is>
          <t>Сумма услуг (до наценок)</t>
        </is>
      </c>
      <c r="D27" t="inlineStr">
        <is>
          <t>усл.</t>
        </is>
      </c>
      <c r="E27" t="n">
        <v>1</v>
      </c>
      <c r="F27" t="n">
        <v>1</v>
      </c>
      <c r="G27" s="5" t="n">
        <v>298500</v>
      </c>
      <c r="H27" s="5">
        <f>E27*F27*G27</f>
        <v/>
      </c>
    </row>
    <row r="28">
      <c r="B28" t="n">
        <v>13</v>
      </c>
      <c r="C28" t="inlineStr">
        <is>
          <t>Накладные расходы и расходы на агентство 10%</t>
        </is>
      </c>
      <c r="D28" t="inlineStr">
        <is>
          <t>усл.</t>
        </is>
      </c>
      <c r="E28" t="n">
        <v>1</v>
      </c>
      <c r="F28" t="n">
        <v>1</v>
      </c>
      <c r="G28" s="5" t="n">
        <v>29850</v>
      </c>
      <c r="H28" s="5">
        <f>E28*F28*G28</f>
        <v/>
      </c>
    </row>
    <row r="29">
      <c r="C29" s="2" t="inlineStr">
        <is>
          <t>Налоги (10% от оборота)</t>
        </is>
      </c>
      <c r="D29" t="inlineStr">
        <is>
          <t>усл.</t>
        </is>
      </c>
      <c r="E29" t="n">
        <v>1</v>
      </c>
      <c r="F29" t="n">
        <v>1</v>
      </c>
      <c r="G29" s="5" t="n">
        <v>36483.33</v>
      </c>
      <c r="H29" s="5">
        <f>E29*F29*G29</f>
        <v/>
      </c>
    </row>
    <row r="30">
      <c r="C30" s="2" t="inlineStr">
        <is>
          <t>Всего за тимбилдинг</t>
        </is>
      </c>
      <c r="D30" t="inlineStr">
        <is>
          <t>усл.</t>
        </is>
      </c>
      <c r="E30" t="n">
        <v>1</v>
      </c>
      <c r="F30" t="n">
        <v>1</v>
      </c>
      <c r="G30" s="5" t="n">
        <v>364833.33</v>
      </c>
      <c r="H30" s="5">
        <f>E30*F30*G30</f>
        <v/>
      </c>
    </row>
    <row r="32">
      <c r="G32" s="6" t="inlineStr">
        <is>
          <t>ИТОГО К ОПЛАТЕ:</t>
        </is>
      </c>
      <c r="H32" s="7">
        <f>SUM(H10:H30)</f>
        <v/>
      </c>
    </row>
  </sheetData>
  <mergeCells count="6">
    <mergeCell ref="C26:H26"/>
    <mergeCell ref="C10:H10"/>
    <mergeCell ref="C23:H23"/>
    <mergeCell ref="B2:H2"/>
    <mergeCell ref="C20:H20"/>
    <mergeCell ref="C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2026-02-11T11:04:17Z</dcterms:created>
  <dcterms:modified xsi:type="dcterms:W3CDTF">2026-02-11T11:04:17Z</dcterms:modified>
</cp:coreProperties>
</file>