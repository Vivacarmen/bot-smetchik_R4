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ме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67E22"/>
        <bgColor rgb="00E67E22"/>
      </patternFill>
    </fill>
    <fill>
      <patternFill patternType="solid">
        <fgColor rgb="002C3E50"/>
        <bgColor rgb="002C3E50"/>
      </patternFill>
    </fill>
    <fill>
      <patternFill patternType="solid">
        <fgColor rgb="00ECF0F1"/>
        <bgColor rgb="00ECF0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2" fillId="4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38"/>
  <sheetViews>
    <sheetView workbookViewId="0">
      <selection activeCell="A1" sqref="A1"/>
    </sheetView>
  </sheetViews>
  <sheetFormatPr baseColWidth="8" defaultRowHeight="15"/>
  <cols>
    <col width="5" customWidth="1" min="2" max="2"/>
    <col width="55" customWidth="1" min="3" max="3"/>
    <col width="18" customWidth="1" min="8" max="8"/>
  </cols>
  <sheetData>
    <row r="2">
      <c r="B2" s="1" t="inlineStr">
        <is>
          <t>КОММЕРЧЕСКОЕ ПРЕДЛОЖЕНИЕ: R4 Event Design</t>
        </is>
      </c>
    </row>
    <row r="4">
      <c r="B4" s="2" t="inlineStr">
        <is>
          <t>Заказчик:</t>
        </is>
      </c>
      <c r="C4" t="inlineStr">
        <is>
          <t>Гаяна (Байерсдорф)</t>
        </is>
      </c>
    </row>
    <row r="5">
      <c r="B5" s="2" t="inlineStr">
        <is>
          <t>Локация:</t>
        </is>
      </c>
      <c r="C5" t="inlineStr">
        <is>
          <t>Курорт Завидово, Веранда у горки (20 мин пешком)</t>
        </is>
      </c>
    </row>
    <row r="6">
      <c r="B6" s="2" t="inlineStr">
        <is>
          <t>Дата:</t>
        </is>
      </c>
      <c r="C6" t="inlineStr">
        <is>
          <t>03-26 16</t>
        </is>
      </c>
    </row>
    <row r="7">
      <c r="B7" s="2" t="inlineStr">
        <is>
          <t>Кол-во гостей:</t>
        </is>
      </c>
      <c r="C7" t="inlineStr">
        <is>
          <t>9</t>
        </is>
      </c>
    </row>
    <row r="9">
      <c r="B9" s="3" t="inlineStr">
        <is>
          <t>№</t>
        </is>
      </c>
      <c r="C9" s="3" t="inlineStr">
        <is>
          <t>Наименование</t>
        </is>
      </c>
      <c r="D9" s="3" t="inlineStr">
        <is>
          <t>Ед.</t>
        </is>
      </c>
      <c r="E9" s="3" t="inlineStr">
        <is>
          <t>Кол-во</t>
        </is>
      </c>
      <c r="F9" s="3" t="inlineStr">
        <is>
          <t>Дни/Часы</t>
        </is>
      </c>
      <c r="G9" s="3" t="inlineStr">
        <is>
          <t>Цена</t>
        </is>
      </c>
      <c r="H9" s="3" t="inlineStr">
        <is>
          <t>Сумма</t>
        </is>
      </c>
    </row>
    <row r="10">
      <c r="C10" s="4" t="inlineStr">
        <is>
          <t>АРЕНДА И ЛОГИСТИКА</t>
        </is>
      </c>
    </row>
    <row r="11">
      <c r="B11" t="n">
        <v>1</v>
      </c>
      <c r="C11" t="inlineStr">
        <is>
          <t>Аренда площадки Веранда у горки (Не сезон)</t>
        </is>
      </c>
      <c r="D11" t="inlineStr">
        <is>
          <t>час</t>
        </is>
      </c>
      <c r="E11" t="n">
        <v>3</v>
      </c>
      <c r="F11" t="n">
        <v>1</v>
      </c>
      <c r="G11" s="5" t="n">
        <v>5000</v>
      </c>
      <c r="H11" s="5">
        <f>E11*F11*G11</f>
        <v/>
      </c>
    </row>
    <row r="12">
      <c r="B12" t="n">
        <v>2</v>
      </c>
      <c r="C12" t="inlineStr">
        <is>
          <t>Транспортные расходы (Закупка, доставка, М/Д)</t>
        </is>
      </c>
      <c r="D12" t="inlineStr">
        <is>
          <t>усл.</t>
        </is>
      </c>
      <c r="E12" t="n">
        <v>1</v>
      </c>
      <c r="F12" t="n">
        <v>1</v>
      </c>
      <c r="G12" s="5" t="n">
        <v>13000</v>
      </c>
      <c r="H12" s="5">
        <f>E12*F12*G12</f>
        <v/>
      </c>
    </row>
    <row r="13">
      <c r="B13" t="n">
        <v>3</v>
      </c>
      <c r="C13" t="inlineStr">
        <is>
          <t>Выдача реквизита со склада</t>
        </is>
      </c>
      <c r="D13" t="inlineStr">
        <is>
          <t>усл.</t>
        </is>
      </c>
      <c r="E13" t="n">
        <v>1</v>
      </c>
      <c r="F13" t="n">
        <v>1</v>
      </c>
      <c r="G13" s="5" t="n">
        <v>1300</v>
      </c>
      <c r="H13" s="5">
        <f>E13*F13*G13</f>
        <v/>
      </c>
    </row>
    <row r="14">
      <c r="C14" s="2" t="inlineStr">
        <is>
          <t>Сумма за раздел Аренда и логистика</t>
        </is>
      </c>
      <c r="D14" t="inlineStr"/>
      <c r="E14" t="n">
        <v>0</v>
      </c>
      <c r="F14" t="n">
        <v>0</v>
      </c>
      <c r="G14" s="5" t="n">
        <v>0</v>
      </c>
      <c r="H14" s="5">
        <f>E14*F14*G14</f>
        <v/>
      </c>
    </row>
    <row r="15">
      <c r="C15" s="4" t="inlineStr">
        <is>
          <t>ПЕРСОНАЛ ПРОГРАММЫ</t>
        </is>
      </c>
    </row>
    <row r="16">
      <c r="B16" t="n">
        <v>4</v>
      </c>
      <c r="C16" t="inlineStr">
        <is>
          <t>Ведущий мастер-класса (2 часа)</t>
        </is>
      </c>
      <c r="D16" t="inlineStr">
        <is>
          <t>чел.</t>
        </is>
      </c>
      <c r="E16" t="n">
        <v>1</v>
      </c>
      <c r="F16" t="n">
        <v>2</v>
      </c>
      <c r="G16" s="5" t="n">
        <v>10000</v>
      </c>
      <c r="H16" s="5">
        <f>E16*F16*G16</f>
        <v/>
      </c>
    </row>
    <row r="17">
      <c r="B17" t="n">
        <v>5</v>
      </c>
      <c r="C17" t="inlineStr">
        <is>
          <t>Помощник ведущего (2 часа)</t>
        </is>
      </c>
      <c r="D17" t="inlineStr">
        <is>
          <t>чел.</t>
        </is>
      </c>
      <c r="E17" t="n">
        <v>1</v>
      </c>
      <c r="F17" t="n">
        <v>2</v>
      </c>
      <c r="G17" s="5" t="n">
        <v>4000</v>
      </c>
      <c r="H17" s="5">
        <f>E17*F17*G17</f>
        <v/>
      </c>
    </row>
    <row r="18">
      <c r="C18" s="2" t="inlineStr">
        <is>
          <t>Сумма за раздел Персонал программы</t>
        </is>
      </c>
      <c r="D18" t="inlineStr"/>
      <c r="E18" t="n">
        <v>0</v>
      </c>
      <c r="F18" t="n">
        <v>0</v>
      </c>
      <c r="G18" s="5" t="n">
        <v>0</v>
      </c>
      <c r="H18" s="5">
        <f>E18*F18*G18</f>
        <v/>
      </c>
    </row>
    <row r="19">
      <c r="C19" s="4" t="inlineStr">
        <is>
          <t>ИНВЕНТАРЬ И ОБОРУДОВАНИЕ</t>
        </is>
      </c>
    </row>
    <row r="20">
      <c r="B20" t="n">
        <v>6</v>
      </c>
      <c r="C20" t="inlineStr">
        <is>
          <t>Аренда инвентаря для приготовления</t>
        </is>
      </c>
      <c r="D20" t="inlineStr">
        <is>
          <t>компл</t>
        </is>
      </c>
      <c r="E20" t="n">
        <v>3</v>
      </c>
      <c r="F20" t="n">
        <v>1</v>
      </c>
      <c r="G20" s="5" t="n">
        <v>4667</v>
      </c>
      <c r="H20" s="5">
        <f>E20*F20*G20</f>
        <v/>
      </c>
    </row>
    <row r="21">
      <c r="B21" t="n">
        <v>7</v>
      </c>
      <c r="C21" t="inlineStr">
        <is>
          <t>Колонки и микрофон</t>
        </is>
      </c>
      <c r="D21" t="inlineStr">
        <is>
          <t>компл</t>
        </is>
      </c>
      <c r="E21" t="n">
        <v>1</v>
      </c>
      <c r="F21" t="n">
        <v>1</v>
      </c>
      <c r="G21" s="5" t="n">
        <v>6500</v>
      </c>
      <c r="H21" s="5">
        <f>E21*F21*G21</f>
        <v/>
      </c>
    </row>
    <row r="22">
      <c r="C22" s="2" t="inlineStr">
        <is>
          <t>Сумма за раздел Инвентарь и оборудование</t>
        </is>
      </c>
      <c r="D22" t="inlineStr"/>
      <c r="E22" t="n">
        <v>0</v>
      </c>
      <c r="F22" t="n">
        <v>0</v>
      </c>
      <c r="G22" s="5" t="n">
        <v>0</v>
      </c>
      <c r="H22" s="5">
        <f>E22*F22*G22</f>
        <v/>
      </c>
    </row>
    <row r="23">
      <c r="C23" s="4" t="inlineStr">
        <is>
          <t>ПРОДУКТЫ И НАПИТКИ</t>
        </is>
      </c>
    </row>
    <row r="24">
      <c r="B24" t="n">
        <v>8</v>
      </c>
      <c r="C24" t="inlineStr">
        <is>
          <t>Ингредиенты (Фрукты и специи)</t>
        </is>
      </c>
      <c r="D24" t="inlineStr">
        <is>
          <t>компл</t>
        </is>
      </c>
      <c r="E24" t="n">
        <v>3</v>
      </c>
      <c r="F24" t="n">
        <v>1</v>
      </c>
      <c r="G24" s="5" t="n">
        <v>2450</v>
      </c>
      <c r="H24" s="5">
        <f>E24*F24*G24</f>
        <v/>
      </c>
    </row>
    <row r="25">
      <c r="B25" t="n">
        <v>9</v>
      </c>
      <c r="C25" t="inlineStr">
        <is>
          <t>Расходные материалы (Стаканчики, газ и т.д.)</t>
        </is>
      </c>
      <c r="D25" t="inlineStr">
        <is>
          <t>компл</t>
        </is>
      </c>
      <c r="E25" t="n">
        <v>3</v>
      </c>
      <c r="F25" t="n">
        <v>1</v>
      </c>
      <c r="G25" s="5" t="n">
        <v>1400</v>
      </c>
      <c r="H25" s="5">
        <f>E25*F25*G25</f>
        <v/>
      </c>
    </row>
    <row r="26">
      <c r="B26" t="n">
        <v>10</v>
      </c>
      <c r="C26" t="inlineStr">
        <is>
          <t>Вино для глинтвейна</t>
        </is>
      </c>
      <c r="D26" t="inlineStr">
        <is>
          <t>бут.</t>
        </is>
      </c>
      <c r="E26" t="n">
        <v>6</v>
      </c>
      <c r="F26" t="n">
        <v>1</v>
      </c>
      <c r="G26" s="5" t="n">
        <v>2350</v>
      </c>
      <c r="H26" s="5">
        <f>E26*F26*G26</f>
        <v/>
      </c>
    </row>
    <row r="27">
      <c r="B27" t="n">
        <v>11</v>
      </c>
      <c r="C27" t="inlineStr">
        <is>
          <t>Чай Габа и услуга "Варка чая"</t>
        </is>
      </c>
      <c r="D27" t="inlineStr">
        <is>
          <t>усл.</t>
        </is>
      </c>
      <c r="E27" t="n">
        <v>1</v>
      </c>
      <c r="F27" t="n">
        <v>1</v>
      </c>
      <c r="G27" s="5" t="n">
        <v>5200</v>
      </c>
      <c r="H27" s="5">
        <f>E27*F27*G27</f>
        <v/>
      </c>
    </row>
    <row r="28">
      <c r="C28" s="2" t="inlineStr">
        <is>
          <t>Сумма за раздел Продукты и напитки</t>
        </is>
      </c>
      <c r="D28" t="inlineStr"/>
      <c r="E28" t="n">
        <v>0</v>
      </c>
      <c r="F28" t="n">
        <v>0</v>
      </c>
      <c r="G28" s="5" t="n">
        <v>0</v>
      </c>
      <c r="H28" s="5">
        <f>E28*F28*G28</f>
        <v/>
      </c>
    </row>
    <row r="29">
      <c r="C29" s="4" t="inlineStr">
        <is>
          <t>УПРАВЛЕНИЕ И КООРДИНАЦИЯ</t>
        </is>
      </c>
    </row>
    <row r="30">
      <c r="B30" t="n">
        <v>12</v>
      </c>
      <c r="C30" t="inlineStr">
        <is>
          <t>Руководитель проекта</t>
        </is>
      </c>
      <c r="D30" t="inlineStr">
        <is>
          <t>усл.</t>
        </is>
      </c>
      <c r="E30" t="n">
        <v>1</v>
      </c>
      <c r="F30" t="n">
        <v>1</v>
      </c>
      <c r="G30" s="5" t="n">
        <v>30000</v>
      </c>
      <c r="H30" s="5">
        <f>E30*F30*G30</f>
        <v/>
      </c>
    </row>
    <row r="31">
      <c r="B31" t="n">
        <v>13</v>
      </c>
      <c r="C31" t="inlineStr">
        <is>
          <t>Координатор на площадке</t>
        </is>
      </c>
      <c r="D31" t="inlineStr">
        <is>
          <t>чел.</t>
        </is>
      </c>
      <c r="E31" t="n">
        <v>1</v>
      </c>
      <c r="F31" t="n">
        <v>1</v>
      </c>
      <c r="G31" s="5" t="n">
        <v>10000</v>
      </c>
      <c r="H31" s="5">
        <f>E31*F31*G31</f>
        <v/>
      </c>
    </row>
    <row r="32">
      <c r="B32" t="n">
        <v>14</v>
      </c>
      <c r="C32" t="inlineStr">
        <is>
          <t>Питание персонала (Себестоимость)</t>
        </is>
      </c>
      <c r="D32" t="inlineStr">
        <is>
          <t>усл.</t>
        </is>
      </c>
      <c r="E32" t="n">
        <v>1</v>
      </c>
      <c r="F32" t="n">
        <v>1</v>
      </c>
      <c r="G32" s="5" t="n">
        <v>0</v>
      </c>
      <c r="H32" s="5">
        <f>E32*F32*G32</f>
        <v/>
      </c>
    </row>
    <row r="33">
      <c r="C33" s="2" t="inlineStr">
        <is>
          <t>Сумма за раздел Управление и координация</t>
        </is>
      </c>
      <c r="D33" t="inlineStr"/>
      <c r="E33" t="n">
        <v>0</v>
      </c>
      <c r="F33" t="n">
        <v>0</v>
      </c>
      <c r="G33" s="5" t="n">
        <v>0</v>
      </c>
      <c r="H33" s="5">
        <f>E33*F33*G33</f>
        <v/>
      </c>
    </row>
    <row r="34">
      <c r="C34" s="4" t="inlineStr">
        <is>
          <t>ИТОГИ</t>
        </is>
      </c>
    </row>
    <row r="35">
      <c r="C35" s="2" t="inlineStr">
        <is>
          <t>СУММА УСЛУГ</t>
        </is>
      </c>
      <c r="D35" t="inlineStr">
        <is>
          <t>усл.</t>
        </is>
      </c>
      <c r="E35" t="n">
        <v>1</v>
      </c>
      <c r="F35" t="n">
        <v>1</v>
      </c>
      <c r="G35" s="5" t="n">
        <v>148650</v>
      </c>
      <c r="H35" s="5">
        <f>E35*F35*G35</f>
        <v/>
      </c>
    </row>
    <row r="36">
      <c r="B36" t="n">
        <v>15</v>
      </c>
      <c r="C36" t="inlineStr">
        <is>
          <t>Накладные расходы и расходы на агентство 10%</t>
        </is>
      </c>
      <c r="D36" t="inlineStr">
        <is>
          <t>усл.</t>
        </is>
      </c>
      <c r="E36" t="n">
        <v>1</v>
      </c>
      <c r="F36" t="n">
        <v>1</v>
      </c>
      <c r="G36" s="5" t="n">
        <v>14865</v>
      </c>
      <c r="H36" s="5">
        <f>E36*F36*G36</f>
        <v/>
      </c>
    </row>
    <row r="37">
      <c r="C37" s="2" t="inlineStr">
        <is>
          <t>Налоги</t>
        </is>
      </c>
      <c r="D37" t="inlineStr">
        <is>
          <t>усл.</t>
        </is>
      </c>
      <c r="E37" t="n">
        <v>1</v>
      </c>
      <c r="F37" t="n">
        <v>1</v>
      </c>
      <c r="G37" s="5" t="n">
        <v>18168.33</v>
      </c>
      <c r="H37" s="5">
        <f>E37*F37*G37</f>
        <v/>
      </c>
    </row>
    <row r="38">
      <c r="C38" s="2" t="inlineStr">
        <is>
          <t>Всего за мероприятие</t>
        </is>
      </c>
      <c r="D38" t="inlineStr">
        <is>
          <t>усл.</t>
        </is>
      </c>
      <c r="E38" t="n">
        <v>1</v>
      </c>
      <c r="F38" t="n">
        <v>1</v>
      </c>
      <c r="G38" s="5" t="n">
        <v>181683.33</v>
      </c>
      <c r="H38" s="5">
        <f>E38*F38*G38</f>
        <v/>
      </c>
    </row>
  </sheetData>
  <mergeCells count="7">
    <mergeCell ref="C10:H10"/>
    <mergeCell ref="C19:H19"/>
    <mergeCell ref="C23:H23"/>
    <mergeCell ref="B2:H2"/>
    <mergeCell ref="C34:H34"/>
    <mergeCell ref="C29:H29"/>
    <mergeCell ref="C15:H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2026-02-17T19:16:55Z</dcterms:created>
  <dcterms:modified xsi:type="dcterms:W3CDTF">2026-02-17T19:16:55Z</dcterms:modified>
</cp:coreProperties>
</file>