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Event Agency</t>
        </is>
      </c>
    </row>
    <row r="4">
      <c r="B4" s="2" t="inlineStr">
        <is>
          <t>Заказчик:</t>
        </is>
      </c>
      <c r="C4" t="inlineStr">
        <is>
          <t>Марина 0970880 (Прайм)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35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 t="inlineStr">
        <is>
          <t>### СМЕТА ПРОЕКТА (ЦЕНА КЛИЕНТА</t>
        </is>
      </c>
      <c r="D10" t="inlineStr">
        <is>
          <t>СЕБЕСТОИМОСТЬ)</t>
        </is>
      </c>
      <c r="E10" t="n">
        <v>1</v>
      </c>
      <c r="F10" t="n">
        <v>1</v>
      </c>
      <c r="G10" s="4" t="n">
        <v>0</v>
      </c>
      <c r="H10" s="4">
        <f>E10*F10*G10</f>
        <v/>
      </c>
    </row>
    <row r="11">
      <c r="C11" s="5" t="inlineStr">
        <is>
          <t>АРЕНДА ТЕРРИТОРИИ</t>
        </is>
      </c>
    </row>
    <row r="12">
      <c r="B12" t="n">
        <v>2</v>
      </c>
      <c r="C12" t="inlineStr">
        <is>
          <t>Аренда территории Лесная поляна (фиксир. ставка)</t>
        </is>
      </c>
      <c r="D12" t="inlineStr">
        <is>
          <t>усл.</t>
        </is>
      </c>
      <c r="E12" t="n">
        <v>1</v>
      </c>
      <c r="F12" t="n">
        <v>1</v>
      </c>
      <c r="G12" s="4" t="n">
        <v>30000</v>
      </c>
      <c r="H12" s="4">
        <f>E12*F12*G12</f>
        <v/>
      </c>
    </row>
    <row r="13">
      <c r="B13" t="n">
        <v>3</v>
      </c>
      <c r="C13" t="inlineStr">
        <is>
          <t>Аренда территории Лесная поляна (за человека)</t>
        </is>
      </c>
      <c r="D13" t="inlineStr">
        <is>
          <t>чел.</t>
        </is>
      </c>
      <c r="E13" t="n">
        <v>35</v>
      </c>
      <c r="F13" t="n">
        <v>1</v>
      </c>
      <c r="G13" s="4" t="n">
        <v>10500</v>
      </c>
      <c r="H13" s="4">
        <f>E13*F13*G13</f>
        <v/>
      </c>
    </row>
    <row r="14">
      <c r="C14" s="2" t="inlineStr">
        <is>
          <t>Итого по разделу</t>
        </is>
      </c>
      <c r="D14" t="inlineStr"/>
      <c r="E14" t="n">
        <v>0</v>
      </c>
      <c r="F14" t="n">
        <v>0</v>
      </c>
      <c r="G14" s="4" t="n">
        <v>40500</v>
      </c>
      <c r="H14" s="4">
        <f>E14*F14*G14</f>
        <v/>
      </c>
    </row>
    <row r="15">
      <c r="C15" s="5" t="inlineStr">
        <is>
          <t>ПРОГРАММА И ПЕРСОНАЛ ИГРЫ</t>
        </is>
      </c>
    </row>
    <row r="16">
      <c r="B16" t="n">
        <v>4</v>
      </c>
      <c r="C16" t="inlineStr">
        <is>
          <t>Ведущий мероприятия</t>
        </is>
      </c>
      <c r="D16" t="inlineStr">
        <is>
          <t>чел.</t>
        </is>
      </c>
      <c r="E16" t="n">
        <v>1</v>
      </c>
      <c r="F16" t="n">
        <v>1</v>
      </c>
      <c r="G16" s="4" t="n">
        <v>30000</v>
      </c>
      <c r="H16" s="4">
        <f>E16*F16*G16</f>
        <v/>
      </c>
    </row>
    <row r="17">
      <c r="B17" t="n">
        <v>5</v>
      </c>
      <c r="C17" t="inlineStr">
        <is>
          <t>Реквизит для тимбилдинга (со склада)</t>
        </is>
      </c>
      <c r="D17" t="inlineStr">
        <is>
          <t>компл.</t>
        </is>
      </c>
      <c r="E17" t="n">
        <v>1</v>
      </c>
      <c r="F17" t="n">
        <v>1</v>
      </c>
      <c r="G17" s="4" t="n">
        <v>50000</v>
      </c>
      <c r="H17" s="4">
        <f>E17*F17*G17</f>
        <v/>
      </c>
    </row>
    <row r="18">
      <c r="B18" t="n">
        <v>6</v>
      </c>
      <c r="C18" t="inlineStr">
        <is>
          <t>Команда тимлидеров (4 чел. по 12 000/7 500)</t>
        </is>
      </c>
      <c r="D18" t="inlineStr">
        <is>
          <t>чел.</t>
        </is>
      </c>
      <c r="E18" t="n">
        <v>4</v>
      </c>
      <c r="F18" t="n">
        <v>1</v>
      </c>
      <c r="G18" s="4" t="n">
        <v>48000</v>
      </c>
      <c r="H18" s="4">
        <f>E18*F18*G18</f>
        <v/>
      </c>
    </row>
    <row r="19">
      <c r="B19" t="n">
        <v>7</v>
      </c>
      <c r="C19" t="inlineStr">
        <is>
          <t>Приз для команды-победителя</t>
        </is>
      </c>
      <c r="D19" t="inlineStr">
        <is>
          <t>усл.</t>
        </is>
      </c>
      <c r="E19" t="n">
        <v>1</v>
      </c>
      <c r="F19" t="n">
        <v>1</v>
      </c>
      <c r="G19" s="4" t="n">
        <v>0</v>
      </c>
      <c r="H19" s="4">
        <f>E19*F19*G19</f>
        <v/>
      </c>
    </row>
    <row r="20">
      <c r="B20" t="n">
        <v>8</v>
      </c>
      <c r="C20" t="inlineStr">
        <is>
          <t>Распечатка карты для игры</t>
        </is>
      </c>
      <c r="D20" t="inlineStr">
        <is>
          <t>усл.</t>
        </is>
      </c>
      <c r="E20" t="n">
        <v>1</v>
      </c>
      <c r="F20" t="n">
        <v>1</v>
      </c>
      <c r="G20" s="4" t="n">
        <v>0</v>
      </c>
      <c r="H20" s="4">
        <f>E20*F20*G20</f>
        <v/>
      </c>
    </row>
    <row r="21">
      <c r="C21" s="5" t="inlineStr">
        <is>
          <t>ТЕХНИЧЕСКОЕ ОБЕСПЕЧЕНИЕ</t>
        </is>
      </c>
    </row>
    <row r="22">
      <c r="B22" t="n">
        <v>9</v>
      </c>
      <c r="C22" t="inlineStr">
        <is>
          <t>Звуковая колонка и микрофон</t>
        </is>
      </c>
      <c r="D22" t="inlineStr">
        <is>
          <t>компл.</t>
        </is>
      </c>
      <c r="E22" t="n">
        <v>1</v>
      </c>
      <c r="F22" t="n">
        <v>1</v>
      </c>
      <c r="G22" s="4" t="n">
        <v>10000</v>
      </c>
      <c r="H22" s="4">
        <f>E22*F22*G22</f>
        <v/>
      </c>
    </row>
    <row r="23">
      <c r="C23" s="5" t="inlineStr">
        <is>
          <t>ЛОГИСТИКА И МОНТАЖ</t>
        </is>
      </c>
    </row>
    <row r="24">
      <c r="B24" t="n">
        <v>10</v>
      </c>
      <c r="C24" t="inlineStr">
        <is>
          <t>Монтаж-демонтаж оборудования</t>
        </is>
      </c>
      <c r="D24" t="inlineStr">
        <is>
          <t>усл.</t>
        </is>
      </c>
      <c r="E24" t="n">
        <v>1</v>
      </c>
      <c r="F24" t="n">
        <v>1</v>
      </c>
      <c r="G24" s="4" t="n">
        <v>15000</v>
      </c>
      <c r="H24" s="4">
        <f>E24*F24*G24</f>
        <v/>
      </c>
    </row>
    <row r="25">
      <c r="B25" t="n">
        <v>11</v>
      </c>
      <c r="C25" t="inlineStr">
        <is>
          <t>Транспортные расходы (логистика)</t>
        </is>
      </c>
      <c r="D25" t="inlineStr">
        <is>
          <t>усл.</t>
        </is>
      </c>
      <c r="E25" t="n">
        <v>1</v>
      </c>
      <c r="F25" t="n">
        <v>1</v>
      </c>
      <c r="G25" s="4" t="n">
        <v>20000</v>
      </c>
      <c r="H25" s="4">
        <f>E25*F25*G25</f>
        <v/>
      </c>
    </row>
    <row r="26">
      <c r="C26" s="5" t="inlineStr">
        <is>
          <t>УПРАВЛЕНИЕ ПРОЕКТОМ</t>
        </is>
      </c>
    </row>
    <row r="27">
      <c r="B27" t="n">
        <v>12</v>
      </c>
      <c r="C27" t="inlineStr">
        <is>
          <t>Руководитель проекта (РП)</t>
        </is>
      </c>
      <c r="D27" t="inlineStr">
        <is>
          <t>чел.</t>
        </is>
      </c>
      <c r="E27" t="n">
        <v>1</v>
      </c>
      <c r="F27" t="n">
        <v>1</v>
      </c>
      <c r="G27" s="4" t="n">
        <v>30000</v>
      </c>
      <c r="H27" s="4">
        <f>E27*F27*G27</f>
        <v/>
      </c>
    </row>
    <row r="28">
      <c r="B28" t="n">
        <v>13</v>
      </c>
      <c r="C28" t="inlineStr">
        <is>
          <t>Координатор на площадке</t>
        </is>
      </c>
      <c r="D28" t="inlineStr">
        <is>
          <t>чел.</t>
        </is>
      </c>
      <c r="E28" t="n">
        <v>1</v>
      </c>
      <c r="F28" t="n">
        <v>1</v>
      </c>
      <c r="G28" s="4" t="n">
        <v>10000</v>
      </c>
      <c r="H28" s="4">
        <f>E28*F28*G28</f>
        <v/>
      </c>
    </row>
    <row r="29">
      <c r="B29" t="n">
        <v>14</v>
      </c>
      <c r="C29" t="inlineStr">
        <is>
          <t>Затраты на питание персонала (6 человек)</t>
        </is>
      </c>
      <c r="D29" t="inlineStr">
        <is>
          <t>усл.</t>
        </is>
      </c>
      <c r="E29" t="n">
        <v>1</v>
      </c>
      <c r="F29" t="n">
        <v>1</v>
      </c>
      <c r="G29" s="4" t="n">
        <v>0</v>
      </c>
      <c r="H29" s="4">
        <f>E29*F29*G29</f>
        <v/>
      </c>
    </row>
    <row r="30">
      <c r="C30" s="5" t="inlineStr">
        <is>
          <t>СУММА УСЛУГ (БАЗОВАЯ)</t>
        </is>
      </c>
    </row>
    <row r="31">
      <c r="C31" s="5" t="inlineStr">
        <is>
          <t>ИТОГИ</t>
        </is>
      </c>
    </row>
    <row r="32">
      <c r="B32" t="n">
        <v>15</v>
      </c>
      <c r="C32" t="inlineStr">
        <is>
          <t>Накладные расходы и расходы на агентство 10%</t>
        </is>
      </c>
      <c r="D32" t="inlineStr">
        <is>
          <t>усл.</t>
        </is>
      </c>
      <c r="E32" t="n">
        <v>1</v>
      </c>
      <c r="F32" t="n">
        <v>1</v>
      </c>
      <c r="G32" s="4" t="n">
        <v>25350</v>
      </c>
      <c r="H32" s="4">
        <f>E32*F32*G32</f>
        <v/>
      </c>
    </row>
    <row r="33">
      <c r="C33" s="2" t="inlineStr">
        <is>
          <t>Сумма позиций + Расходы на агентство</t>
        </is>
      </c>
      <c r="D33" t="inlineStr">
        <is>
          <t>усл.</t>
        </is>
      </c>
      <c r="E33" t="n">
        <v>1</v>
      </c>
      <c r="F33" t="n">
        <v>1</v>
      </c>
      <c r="G33" s="4" t="n">
        <v>278850</v>
      </c>
      <c r="H33" s="4">
        <f>E33*F33*G33</f>
        <v/>
      </c>
    </row>
    <row r="34">
      <c r="C34" s="2" t="inlineStr">
        <is>
          <t>Налоги (10% от оборота)</t>
        </is>
      </c>
      <c r="D34" t="inlineStr">
        <is>
          <t>усл.</t>
        </is>
      </c>
      <c r="E34" t="n">
        <v>1</v>
      </c>
      <c r="F34" t="n">
        <v>1</v>
      </c>
      <c r="G34" s="4" t="n">
        <v>30983</v>
      </c>
      <c r="H34" s="4">
        <f>E34*F34*G34</f>
        <v/>
      </c>
    </row>
    <row r="35">
      <c r="C35" s="2" t="inlineStr">
        <is>
          <t>ВСЕГО ЗА ТИМБИЛДИНГ (ИТОГОВАЯ СУММА)</t>
        </is>
      </c>
      <c r="D35" t="inlineStr">
        <is>
          <t>усл.</t>
        </is>
      </c>
      <c r="E35" t="n">
        <v>1</v>
      </c>
      <c r="F35" t="n">
        <v>1</v>
      </c>
      <c r="G35" s="4" t="n">
        <v>309833</v>
      </c>
      <c r="H35" s="4">
        <f>E35*F35*G35</f>
        <v/>
      </c>
    </row>
    <row r="37">
      <c r="G37" s="6" t="inlineStr">
        <is>
          <t>ИТОГО К ОПЛАТЕ:</t>
        </is>
      </c>
      <c r="H37" s="7">
        <f>SUM(H10:H35)</f>
        <v/>
      </c>
    </row>
  </sheetData>
  <mergeCells count="8">
    <mergeCell ref="C11:H11"/>
    <mergeCell ref="C31:H31"/>
    <mergeCell ref="C23:H23"/>
    <mergeCell ref="B2:H2"/>
    <mergeCell ref="C30:H30"/>
    <mergeCell ref="C26:H26"/>
    <mergeCell ref="C21:H21"/>
    <mergeCell ref="C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2026-02-11T06:59:55Z</dcterms:created>
  <dcterms:modified xsi:type="dcterms:W3CDTF">2026-02-11T06:59:55Z</dcterms:modified>
</cp:coreProperties>
</file>