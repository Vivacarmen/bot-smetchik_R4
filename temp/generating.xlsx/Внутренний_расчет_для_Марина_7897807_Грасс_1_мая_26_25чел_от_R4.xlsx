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68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  <col width="15" customWidth="1" min="11" max="11"/>
  </cols>
  <sheetData>
    <row r="2">
      <c r="B2" s="1" t="inlineStr">
        <is>
          <t>РАСЧЕТ ПРОЕКТА (ВНУТРЕННИЙ): R4 Event Design</t>
        </is>
      </c>
    </row>
    <row r="4">
      <c r="B4" s="2" t="inlineStr">
        <is>
          <t>Заказчик:</t>
        </is>
      </c>
      <c r="C4" t="inlineStr">
        <is>
          <t>Марина 7897807 (Грасс)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B10" t="n">
        <v>1</v>
      </c>
      <c r="C10">
        <f>= ПРОГРАММА И КОНТЕНТ ==</f>
        <v/>
      </c>
      <c r="D10" t="inlineStr">
        <is>
          <t>усл.</t>
        </is>
      </c>
      <c r="E10" t="n">
        <v>1</v>
      </c>
      <c r="F10" t="n">
        <v>1</v>
      </c>
      <c r="G10" s="4" t="n">
        <v>0</v>
      </c>
      <c r="H10" s="4">
        <f>E10*F10*G10</f>
        <v/>
      </c>
      <c r="I10" s="4" t="n">
        <v>0</v>
      </c>
      <c r="J10" s="4">
        <f>E10*F10*I10</f>
        <v/>
      </c>
      <c r="K10" s="4">
        <f>H10-J10</f>
        <v/>
      </c>
    </row>
    <row r="11">
      <c r="B11" t="n">
        <v>2</v>
      </c>
      <c r="C11" t="inlineStr">
        <is>
          <t>Ведущий мероприятия</t>
        </is>
      </c>
      <c r="D11" t="inlineStr">
        <is>
          <t>чел.</t>
        </is>
      </c>
      <c r="E11" t="n">
        <v>1</v>
      </c>
      <c r="F11" t="n">
        <v>1</v>
      </c>
      <c r="G11" s="4" t="n">
        <v>30000</v>
      </c>
      <c r="H11" s="4">
        <f>E11*F11*G11</f>
        <v/>
      </c>
      <c r="I11" s="4" t="n">
        <v>20000</v>
      </c>
      <c r="J11" s="4">
        <f>E11*F11*I11</f>
        <v/>
      </c>
      <c r="K11" s="4">
        <f>H11-J11</f>
        <v/>
      </c>
    </row>
    <row r="12">
      <c r="B12" t="n">
        <v>3</v>
      </c>
      <c r="C12" t="inlineStr">
        <is>
          <t>Реквизит для программы «В поисках сокровищ»</t>
        </is>
      </c>
      <c r="D12" t="inlineStr">
        <is>
          <t>компл.</t>
        </is>
      </c>
      <c r="E12" t="n">
        <v>1</v>
      </c>
      <c r="F12" t="n">
        <v>1</v>
      </c>
      <c r="G12" s="4" t="n">
        <v>50000</v>
      </c>
      <c r="H12" s="4">
        <f>E12*F12*G12</f>
        <v/>
      </c>
      <c r="I12" s="4" t="n">
        <v>1000</v>
      </c>
      <c r="J12" s="4">
        <f>E12*F12*I12</f>
        <v/>
      </c>
      <c r="K12" s="4">
        <f>H12-J12</f>
        <v/>
      </c>
    </row>
    <row r="13">
      <c r="B13" t="n">
        <v>4</v>
      </c>
      <c r="C13" t="inlineStr">
        <is>
          <t>Тимлидеры / Помощники ведущего (26 чел. / 10 = 3 чел.)</t>
        </is>
      </c>
      <c r="D13" t="inlineStr">
        <is>
          <t>чел.</t>
        </is>
      </c>
      <c r="E13" t="n">
        <v>3</v>
      </c>
      <c r="F13" t="n">
        <v>1</v>
      </c>
      <c r="G13" s="4" t="n">
        <v>36000</v>
      </c>
      <c r="H13" s="4">
        <f>E13*F13*G13</f>
        <v/>
      </c>
      <c r="I13" s="4" t="n">
        <v>22500</v>
      </c>
      <c r="J13" s="4">
        <f>E13*F13*I13</f>
        <v/>
      </c>
      <c r="K13" s="4">
        <f>H13-J13</f>
        <v/>
      </c>
    </row>
    <row r="14">
      <c r="B14" t="n">
        <v>5</v>
      </c>
      <c r="C14">
        <f>= ТЕХНИЧЕСКОЕ ОБЕСПЕЧЕНИЕ И ЛОГИСТИКА ==</f>
        <v/>
      </c>
      <c r="D14" t="inlineStr">
        <is>
          <t>усл.</t>
        </is>
      </c>
      <c r="E14" t="n">
        <v>1</v>
      </c>
      <c r="F14" t="n">
        <v>1</v>
      </c>
      <c r="G14" s="4" t="n">
        <v>0</v>
      </c>
      <c r="H14" s="4">
        <f>E14*F14*G14</f>
        <v/>
      </c>
      <c r="I14" s="4" t="n">
        <v>0</v>
      </c>
      <c r="J14" s="4">
        <f>E14*F14*I14</f>
        <v/>
      </c>
      <c r="K14" s="4">
        <f>H14-J14</f>
        <v/>
      </c>
    </row>
    <row r="15">
      <c r="B15" t="n">
        <v>6</v>
      </c>
      <c r="C15" t="inlineStr">
        <is>
          <t>Колонка и микрофон (базовый комплект)</t>
        </is>
      </c>
      <c r="D15" t="inlineStr">
        <is>
          <t>компл.</t>
        </is>
      </c>
      <c r="E15" t="n">
        <v>1</v>
      </c>
      <c r="F15" t="n">
        <v>1</v>
      </c>
      <c r="G15" s="4" t="n">
        <v>10000</v>
      </c>
      <c r="H15" s="4">
        <f>E15*F15*G15</f>
        <v/>
      </c>
      <c r="I15" s="4" t="n">
        <v>0</v>
      </c>
      <c r="J15" s="4">
        <f>E15*F15*I15</f>
        <v/>
      </c>
      <c r="K15" s="4">
        <f>H15-J15</f>
        <v/>
      </c>
    </row>
    <row r="16">
      <c r="B16" t="n">
        <v>7</v>
      </c>
      <c r="C16" t="inlineStr">
        <is>
          <t>Монтаж и демонтаж оборудования/реквизита</t>
        </is>
      </c>
      <c r="D16" t="inlineStr">
        <is>
          <t>усл.</t>
        </is>
      </c>
      <c r="E16" t="n">
        <v>1</v>
      </c>
      <c r="F16" t="n">
        <v>1</v>
      </c>
      <c r="G16" s="4" t="n">
        <v>15000</v>
      </c>
      <c r="H16" s="4">
        <f>E16*F16*G16</f>
        <v/>
      </c>
      <c r="I16" s="4" t="n">
        <v>10000</v>
      </c>
      <c r="J16" s="4">
        <f>E16*F16*I16</f>
        <v/>
      </c>
      <c r="K16" s="4">
        <f>H16-J16</f>
        <v/>
      </c>
    </row>
    <row r="17">
      <c r="B17" t="n">
        <v>8</v>
      </c>
      <c r="C17" t="inlineStr">
        <is>
          <t>Транспортные расходы (доставка персонала и оборудования)</t>
        </is>
      </c>
      <c r="D17" t="inlineStr">
        <is>
          <t>усл.</t>
        </is>
      </c>
      <c r="E17" t="n">
        <v>1</v>
      </c>
      <c r="F17" t="n">
        <v>1</v>
      </c>
      <c r="G17" s="4" t="n">
        <v>20000</v>
      </c>
      <c r="H17" s="4">
        <f>E17*F17*G17</f>
        <v/>
      </c>
      <c r="I17" s="4" t="n">
        <v>0</v>
      </c>
      <c r="J17" s="4">
        <f>E17*F17*I17</f>
        <v/>
      </c>
      <c r="K17" s="4">
        <f>H17-J17</f>
        <v/>
      </c>
    </row>
    <row r="18">
      <c r="B18" t="n">
        <v>9</v>
      </c>
      <c r="C18">
        <f>= МЕНЕДЖМЕНТ И КООРДИНАЦИЯ ==</f>
        <v/>
      </c>
      <c r="D18" t="inlineStr">
        <is>
          <t>усл.</t>
        </is>
      </c>
      <c r="E18" t="n">
        <v>1</v>
      </c>
      <c r="F18" t="n">
        <v>1</v>
      </c>
      <c r="G18" s="4" t="n">
        <v>0</v>
      </c>
      <c r="H18" s="4">
        <f>E18*F18*G18</f>
        <v/>
      </c>
      <c r="I18" s="4" t="n">
        <v>0</v>
      </c>
      <c r="J18" s="4">
        <f>E18*F18*I18</f>
        <v/>
      </c>
      <c r="K18" s="4">
        <f>H18-J18</f>
        <v/>
      </c>
    </row>
    <row r="19">
      <c r="B19" t="n">
        <v>10</v>
      </c>
      <c r="C19" t="inlineStr">
        <is>
          <t>Руководитель проекта (Проектный менеджмент)</t>
        </is>
      </c>
      <c r="D19" t="inlineStr">
        <is>
          <t>чел.</t>
        </is>
      </c>
      <c r="E19" t="n">
        <v>1</v>
      </c>
      <c r="F19" t="n">
        <v>1</v>
      </c>
      <c r="G19" s="4" t="n">
        <v>30000</v>
      </c>
      <c r="H19" s="4">
        <f>E19*F19*G19</f>
        <v/>
      </c>
      <c r="I19" s="4" t="n">
        <v>30000</v>
      </c>
      <c r="J19" s="4">
        <f>E19*F19*I19</f>
        <v/>
      </c>
      <c r="K19" s="4">
        <f>H19-J19</f>
        <v/>
      </c>
    </row>
    <row r="20">
      <c r="B20" t="n">
        <v>11</v>
      </c>
      <c r="C20" t="inlineStr">
        <is>
          <t>Координатор на площадке</t>
        </is>
      </c>
      <c r="D20" t="inlineStr">
        <is>
          <t>чел.</t>
        </is>
      </c>
      <c r="E20" t="n">
        <v>1</v>
      </c>
      <c r="F20" t="n">
        <v>1</v>
      </c>
      <c r="G20" s="4" t="n">
        <v>10000</v>
      </c>
      <c r="H20" s="4">
        <f>E20*F20*G20</f>
        <v/>
      </c>
      <c r="I20" s="4" t="n">
        <v>5000</v>
      </c>
      <c r="J20" s="4">
        <f>E20*F20*I20</f>
        <v/>
      </c>
      <c r="K20" s="4">
        <f>H20-J20</f>
        <v/>
      </c>
    </row>
    <row r="21">
      <c r="B21" t="n">
        <v>12</v>
      </c>
      <c r="C21">
        <f>= ПЛОЩАДКА И ДОП. РАСХОДЫ ==</f>
        <v/>
      </c>
      <c r="D21" t="inlineStr">
        <is>
          <t>усл.</t>
        </is>
      </c>
      <c r="E21" t="n">
        <v>1</v>
      </c>
      <c r="F21" t="n">
        <v>1</v>
      </c>
      <c r="G21" s="4" t="n">
        <v>0</v>
      </c>
      <c r="H21" s="4">
        <f>E21*F21*G21</f>
        <v/>
      </c>
      <c r="I21" s="4" t="n">
        <v>0</v>
      </c>
      <c r="J21" s="4">
        <f>E21*F21*I21</f>
        <v/>
      </c>
      <c r="K21" s="4">
        <f>H21-J21</f>
        <v/>
      </c>
    </row>
    <row r="22">
      <c r="B22" t="n">
        <v>13</v>
      </c>
      <c r="C22" t="inlineStr">
        <is>
          <t>Аренда территории «Лесная поляна» (30000 + 30026)</t>
        </is>
      </c>
      <c r="D22" t="inlineStr">
        <is>
          <t>усл.</t>
        </is>
      </c>
      <c r="E22" t="n">
        <v>1</v>
      </c>
      <c r="F22" t="n">
        <v>1</v>
      </c>
      <c r="G22" s="4" t="n">
        <v>37800</v>
      </c>
      <c r="H22" s="4">
        <f>E22*F22*G22</f>
        <v/>
      </c>
      <c r="I22" s="4" t="n">
        <v>37800</v>
      </c>
      <c r="J22" s="4">
        <f>E22*F22*I22</f>
        <v/>
      </c>
      <c r="K22" s="4">
        <f>H22-J22</f>
        <v/>
      </c>
    </row>
    <row r="23">
      <c r="B23" t="n">
        <v>14</v>
      </c>
      <c r="C23" t="inlineStr">
        <is>
          <t>Питание персонала (скрытый расход для агентства)</t>
        </is>
      </c>
      <c r="D23" t="inlineStr">
        <is>
          <t>усл.</t>
        </is>
      </c>
      <c r="E23" t="n">
        <v>1</v>
      </c>
      <c r="F23" t="n">
        <v>1</v>
      </c>
      <c r="G23" s="4" t="n">
        <v>0</v>
      </c>
      <c r="H23" s="4">
        <f>E23*F23*G23</f>
        <v/>
      </c>
      <c r="I23" s="4" t="n">
        <v>3000</v>
      </c>
      <c r="J23" s="4">
        <f>E23*F23*I23</f>
        <v/>
      </c>
      <c r="K23" s="4">
        <f>H23-J23</f>
        <v/>
      </c>
    </row>
    <row r="24">
      <c r="B24" t="n">
        <v>15</v>
      </c>
      <c r="C24" t="inlineStr">
        <is>
          <t>Приз для команды-победителя (скрытый расход для агентства)</t>
        </is>
      </c>
      <c r="D24" t="inlineStr">
        <is>
          <t>шт.</t>
        </is>
      </c>
      <c r="E24" t="n">
        <v>1</v>
      </c>
      <c r="F24" t="n">
        <v>1</v>
      </c>
      <c r="G24" s="4" t="n">
        <v>0</v>
      </c>
      <c r="H24" s="4">
        <f>E24*F24*G24</f>
        <v/>
      </c>
      <c r="I24" s="4" t="n">
        <v>1000</v>
      </c>
      <c r="J24" s="4">
        <f>E24*F24*I24</f>
        <v/>
      </c>
      <c r="K24" s="4">
        <f>H24-J24</f>
        <v/>
      </c>
    </row>
    <row r="25">
      <c r="B25" t="n">
        <v>16</v>
      </c>
      <c r="C25" t="inlineStr">
        <is>
          <t>Распечатка и подготовка карт (скрытый расход для агентства)</t>
        </is>
      </c>
      <c r="D25" t="inlineStr">
        <is>
          <t>шт.</t>
        </is>
      </c>
      <c r="E25" t="n">
        <v>1</v>
      </c>
      <c r="F25" t="n">
        <v>1</v>
      </c>
      <c r="G25" s="4" t="n">
        <v>0</v>
      </c>
      <c r="H25" s="4">
        <f>E25*F25*G25</f>
        <v/>
      </c>
      <c r="I25" s="4" t="n">
        <v>300</v>
      </c>
      <c r="J25" s="4">
        <f>E25*F25*I25</f>
        <v/>
      </c>
      <c r="K25" s="4">
        <f>H25-J25</f>
        <v/>
      </c>
    </row>
    <row r="26">
      <c r="C26" s="2" t="inlineStr">
        <is>
          <t>СУММА УСЛУГ (ДО НАЦЕНКИ)</t>
        </is>
      </c>
      <c r="D26" t="inlineStr">
        <is>
          <t>238800.00</t>
        </is>
      </c>
      <c r="E26" t="n">
        <v>130600</v>
      </c>
      <c r="F26" t="n">
        <v>0</v>
      </c>
      <c r="G26" s="4" t="n">
        <v>0</v>
      </c>
      <c r="H26" s="4">
        <f>E26*F26*G26</f>
        <v/>
      </c>
      <c r="I26" s="4" t="n">
        <v>0</v>
      </c>
      <c r="J26" s="4">
        <f>E26*F26*I26</f>
        <v/>
      </c>
      <c r="K26" s="4">
        <f>H26-J26</f>
        <v/>
      </c>
    </row>
    <row r="27">
      <c r="B27" t="n">
        <v>17</v>
      </c>
      <c r="C27">
        <f>= ИТОГИ ==</f>
        <v/>
      </c>
      <c r="D27" t="inlineStr">
        <is>
          <t>усл.</t>
        </is>
      </c>
      <c r="E27" t="n">
        <v>1</v>
      </c>
      <c r="F27" t="n">
        <v>1</v>
      </c>
      <c r="G27" s="4" t="n">
        <v>0</v>
      </c>
      <c r="H27" s="4">
        <f>E27*F27*G27</f>
        <v/>
      </c>
      <c r="I27" s="4" t="n">
        <v>0</v>
      </c>
      <c r="J27" s="4">
        <f>E27*F27*I27</f>
        <v/>
      </c>
      <c r="K27" s="4">
        <f>H27-J27</f>
        <v/>
      </c>
    </row>
    <row r="28">
      <c r="C28" s="2" t="inlineStr">
        <is>
          <t>Накладные расходы и Агентское вознаграждение 10%</t>
        </is>
      </c>
      <c r="D28" t="inlineStr">
        <is>
          <t>усл.</t>
        </is>
      </c>
      <c r="E28" t="n">
        <v>1</v>
      </c>
      <c r="F28" t="n">
        <v>1</v>
      </c>
      <c r="G28" s="4" t="n">
        <v>23880</v>
      </c>
      <c r="H28" s="4">
        <f>E28*F28*G28</f>
        <v/>
      </c>
      <c r="I28" s="4" t="n">
        <v>0</v>
      </c>
      <c r="J28" s="4">
        <f>E28*F28*I28</f>
        <v/>
      </c>
      <c r="K28" s="4">
        <f>H28-J28</f>
        <v/>
      </c>
    </row>
    <row r="29">
      <c r="C29" s="2" t="inlineStr">
        <is>
          <t>Налоги (10% от оборота)</t>
        </is>
      </c>
      <c r="D29" t="inlineStr">
        <is>
          <t>усл.</t>
        </is>
      </c>
      <c r="E29" t="n">
        <v>1</v>
      </c>
      <c r="F29" t="n">
        <v>1</v>
      </c>
      <c r="G29" s="4" t="n">
        <v>29186.67</v>
      </c>
      <c r="H29" s="4">
        <f>E29*F29*G29</f>
        <v/>
      </c>
      <c r="I29" s="4" t="n">
        <v>0</v>
      </c>
      <c r="J29" s="4">
        <f>E29*F29*I29</f>
        <v/>
      </c>
      <c r="K29" s="4">
        <f>H29-J29</f>
        <v/>
      </c>
    </row>
    <row r="30">
      <c r="C30" s="2" t="inlineStr">
        <is>
          <t>ВСЕГО ЗА ТИМБИЛДИНГ</t>
        </is>
      </c>
      <c r="D30" t="inlineStr">
        <is>
          <t>291866.67</t>
        </is>
      </c>
      <c r="E30" t="n">
        <v>130600</v>
      </c>
      <c r="F30" t="n">
        <v>0</v>
      </c>
      <c r="G30" s="4" t="n">
        <v>0</v>
      </c>
      <c r="H30" s="4">
        <f>E30*F30*G30</f>
        <v/>
      </c>
      <c r="I30" s="4" t="n">
        <v>0</v>
      </c>
      <c r="J30" s="4">
        <f>E30*F30*I30</f>
        <v/>
      </c>
      <c r="K30" s="4">
        <f>H30-J30</f>
        <v/>
      </c>
    </row>
    <row r="31">
      <c r="B31" t="n">
        <v>18</v>
      </c>
      <c r="C31">
        <f>= ПРОГРАММА И КОНТЕНТ ==</f>
        <v/>
      </c>
      <c r="D31" t="inlineStr">
        <is>
          <t>усл.</t>
        </is>
      </c>
      <c r="E31" t="n">
        <v>1</v>
      </c>
      <c r="F31" t="n">
        <v>1</v>
      </c>
      <c r="G31" s="4" t="n">
        <v>0</v>
      </c>
      <c r="H31" s="4">
        <f>E31*F31*G31</f>
        <v/>
      </c>
      <c r="I31" s="4" t="n">
        <v>0</v>
      </c>
      <c r="J31" s="4">
        <f>E31*F31*I31</f>
        <v/>
      </c>
      <c r="K31" s="4">
        <f>H31-J31</f>
        <v/>
      </c>
    </row>
    <row r="32">
      <c r="B32" t="n">
        <v>19</v>
      </c>
      <c r="C32" t="inlineStr">
        <is>
          <t>Ведущий мероприятия</t>
        </is>
      </c>
      <c r="D32" t="inlineStr">
        <is>
          <t>чел.</t>
        </is>
      </c>
      <c r="E32" t="n">
        <v>1</v>
      </c>
      <c r="F32" t="n">
        <v>1</v>
      </c>
      <c r="G32" s="4" t="n">
        <v>30000</v>
      </c>
      <c r="H32" s="4">
        <f>E32*F32*G32</f>
        <v/>
      </c>
      <c r="I32" s="4" t="n">
        <v>0</v>
      </c>
      <c r="J32" s="4">
        <f>E32*F32*I32</f>
        <v/>
      </c>
      <c r="K32" s="4">
        <f>H32-J32</f>
        <v/>
      </c>
    </row>
    <row r="33">
      <c r="B33" t="n">
        <v>20</v>
      </c>
      <c r="C33" t="inlineStr">
        <is>
          <t>Реквизит и оформление для программы «В поисках сокровищ»</t>
        </is>
      </c>
      <c r="D33" t="inlineStr">
        <is>
          <t>компл.</t>
        </is>
      </c>
      <c r="E33" t="n">
        <v>1</v>
      </c>
      <c r="F33" t="n">
        <v>1</v>
      </c>
      <c r="G33" s="4" t="n">
        <v>50000</v>
      </c>
      <c r="H33" s="4">
        <f>E33*F33*G33</f>
        <v/>
      </c>
      <c r="I33" s="4" t="n">
        <v>0</v>
      </c>
      <c r="J33" s="4">
        <f>E33*F33*I33</f>
        <v/>
      </c>
      <c r="K33" s="4">
        <f>H33-J33</f>
        <v/>
      </c>
    </row>
    <row r="34">
      <c r="B34" t="n">
        <v>21</v>
      </c>
      <c r="C34" t="inlineStr">
        <is>
          <t>Тимлидеры / Ассистенты ведущего</t>
        </is>
      </c>
      <c r="D34" t="inlineStr">
        <is>
          <t>чел.</t>
        </is>
      </c>
      <c r="E34" t="n">
        <v>3</v>
      </c>
      <c r="F34" t="n">
        <v>1</v>
      </c>
      <c r="G34" s="4" t="n">
        <v>36000</v>
      </c>
      <c r="H34" s="4">
        <f>E34*F34*G34</f>
        <v/>
      </c>
      <c r="I34" s="4" t="n">
        <v>0</v>
      </c>
      <c r="J34" s="4">
        <f>E34*F34*I34</f>
        <v/>
      </c>
      <c r="K34" s="4">
        <f>H34-J34</f>
        <v/>
      </c>
    </row>
    <row r="35">
      <c r="B35" t="n">
        <v>22</v>
      </c>
      <c r="C35">
        <f>= ТЕХНИЧЕСКОЕ ОБЕСПЕЧЕНИЕ И ЛОГИСТИКА ==</f>
        <v/>
      </c>
      <c r="D35" t="inlineStr">
        <is>
          <t>усл.</t>
        </is>
      </c>
      <c r="E35" t="n">
        <v>1</v>
      </c>
      <c r="F35" t="n">
        <v>1</v>
      </c>
      <c r="G35" s="4" t="n">
        <v>0</v>
      </c>
      <c r="H35" s="4">
        <f>E35*F35*G35</f>
        <v/>
      </c>
      <c r="I35" s="4" t="n">
        <v>0</v>
      </c>
      <c r="J35" s="4">
        <f>E35*F35*I35</f>
        <v/>
      </c>
      <c r="K35" s="4">
        <f>H35-J35</f>
        <v/>
      </c>
    </row>
    <row r="36">
      <c r="B36" t="n">
        <v>23</v>
      </c>
      <c r="C36" t="inlineStr">
        <is>
          <t>Базовый комплект звукового оборудования и микрофонов</t>
        </is>
      </c>
      <c r="D36" t="inlineStr">
        <is>
          <t>компл.</t>
        </is>
      </c>
      <c r="E36" t="n">
        <v>1</v>
      </c>
      <c r="F36" t="n">
        <v>1</v>
      </c>
      <c r="G36" s="4" t="n">
        <v>10000</v>
      </c>
      <c r="H36" s="4">
        <f>E36*F36*G36</f>
        <v/>
      </c>
      <c r="I36" s="4" t="n">
        <v>0</v>
      </c>
      <c r="J36" s="4">
        <f>E36*F36*I36</f>
        <v/>
      </c>
      <c r="K36" s="4">
        <f>H36-J36</f>
        <v/>
      </c>
    </row>
    <row r="37">
      <c r="B37" t="n">
        <v>24</v>
      </c>
      <c r="C37" t="inlineStr">
        <is>
          <t>Техническое сопровождение (монтаж/демонтаж)</t>
        </is>
      </c>
      <c r="D37" t="inlineStr">
        <is>
          <t>усл.</t>
        </is>
      </c>
      <c r="E37" t="n">
        <v>1</v>
      </c>
      <c r="F37" t="n">
        <v>1</v>
      </c>
      <c r="G37" s="4" t="n">
        <v>15000</v>
      </c>
      <c r="H37" s="4">
        <f>E37*F37*G37</f>
        <v/>
      </c>
      <c r="I37" s="4" t="n">
        <v>0</v>
      </c>
      <c r="J37" s="4">
        <f>E37*F37*I37</f>
        <v/>
      </c>
      <c r="K37" s="4">
        <f>H37-J37</f>
        <v/>
      </c>
    </row>
    <row r="38">
      <c r="B38" t="n">
        <v>25</v>
      </c>
      <c r="C38" t="inlineStr">
        <is>
          <t>Транспортные и логистические расходы</t>
        </is>
      </c>
      <c r="D38" t="inlineStr">
        <is>
          <t>усл.</t>
        </is>
      </c>
      <c r="E38" t="n">
        <v>1</v>
      </c>
      <c r="F38" t="n">
        <v>1</v>
      </c>
      <c r="G38" s="4" t="n">
        <v>20000</v>
      </c>
      <c r="H38" s="4">
        <f>E38*F38*G38</f>
        <v/>
      </c>
      <c r="I38" s="4" t="n">
        <v>0</v>
      </c>
      <c r="J38" s="4">
        <f>E38*F38*I38</f>
        <v/>
      </c>
      <c r="K38" s="4">
        <f>H38-J38</f>
        <v/>
      </c>
    </row>
    <row r="39">
      <c r="B39" t="n">
        <v>26</v>
      </c>
      <c r="C39">
        <f>= МЕНЕДЖМЕНТ И КООРДИНАЦИЯ ==</f>
        <v/>
      </c>
      <c r="D39" t="inlineStr">
        <is>
          <t>усл.</t>
        </is>
      </c>
      <c r="E39" t="n">
        <v>1</v>
      </c>
      <c r="F39" t="n">
        <v>1</v>
      </c>
      <c r="G39" s="4" t="n">
        <v>0</v>
      </c>
      <c r="H39" s="4">
        <f>E39*F39*G39</f>
        <v/>
      </c>
      <c r="I39" s="4" t="n">
        <v>0</v>
      </c>
      <c r="J39" s="4">
        <f>E39*F39*I39</f>
        <v/>
      </c>
      <c r="K39" s="4">
        <f>H39-J39</f>
        <v/>
      </c>
    </row>
    <row r="40">
      <c r="B40" t="n">
        <v>27</v>
      </c>
      <c r="C40" t="inlineStr">
        <is>
          <t>Управление проектом и администрирование</t>
        </is>
      </c>
      <c r="D40" t="inlineStr">
        <is>
          <t>чел.</t>
        </is>
      </c>
      <c r="E40" t="n">
        <v>1</v>
      </c>
      <c r="F40" t="n">
        <v>1</v>
      </c>
      <c r="G40" s="4" t="n">
        <v>30000</v>
      </c>
      <c r="H40" s="4">
        <f>E40*F40*G40</f>
        <v/>
      </c>
      <c r="I40" s="4" t="n">
        <v>0</v>
      </c>
      <c r="J40" s="4">
        <f>E40*F40*I40</f>
        <v/>
      </c>
      <c r="K40" s="4">
        <f>H40-J40</f>
        <v/>
      </c>
    </row>
    <row r="41">
      <c r="B41" t="n">
        <v>28</v>
      </c>
      <c r="C41" t="inlineStr">
        <is>
          <t>Координатор на площадке</t>
        </is>
      </c>
      <c r="D41" t="inlineStr">
        <is>
          <t>чел.</t>
        </is>
      </c>
      <c r="E41" t="n">
        <v>1</v>
      </c>
      <c r="F41" t="n">
        <v>1</v>
      </c>
      <c r="G41" s="4" t="n">
        <v>10000</v>
      </c>
      <c r="H41" s="4">
        <f>E41*F41*G41</f>
        <v/>
      </c>
      <c r="I41" s="4" t="n">
        <v>0</v>
      </c>
      <c r="J41" s="4">
        <f>E41*F41*I41</f>
        <v/>
      </c>
      <c r="K41" s="4">
        <f>H41-J41</f>
        <v/>
      </c>
    </row>
    <row r="42">
      <c r="B42" t="n">
        <v>29</v>
      </c>
      <c r="C42">
        <f>= ПЛОЩАДКА И СБОРЫ ==</f>
        <v/>
      </c>
      <c r="D42" t="inlineStr">
        <is>
          <t>усл.</t>
        </is>
      </c>
      <c r="E42" t="n">
        <v>1</v>
      </c>
      <c r="F42" t="n">
        <v>1</v>
      </c>
      <c r="G42" s="4" t="n">
        <v>0</v>
      </c>
      <c r="H42" s="4">
        <f>E42*F42*G42</f>
        <v/>
      </c>
      <c r="I42" s="4" t="n">
        <v>0</v>
      </c>
      <c r="J42" s="4">
        <f>E42*F42*I42</f>
        <v/>
      </c>
      <c r="K42" s="4">
        <f>H42-J42</f>
        <v/>
      </c>
    </row>
    <row r="43">
      <c r="B43" t="n">
        <v>30</v>
      </c>
      <c r="C43" t="inlineStr">
        <is>
          <t>Аренда территории «Лесная поляна» (Фикс + сборы с чел.)</t>
        </is>
      </c>
      <c r="D43" t="inlineStr">
        <is>
          <t>усл.</t>
        </is>
      </c>
      <c r="E43" t="n">
        <v>1</v>
      </c>
      <c r="F43" t="n">
        <v>1</v>
      </c>
      <c r="G43" s="4" t="n">
        <v>37800</v>
      </c>
      <c r="H43" s="4">
        <f>E43*F43*G43</f>
        <v/>
      </c>
      <c r="I43" s="4" t="n">
        <v>0</v>
      </c>
      <c r="J43" s="4">
        <f>E43*F43*I43</f>
        <v/>
      </c>
      <c r="K43" s="4">
        <f>H43-J43</f>
        <v/>
      </c>
    </row>
    <row r="44">
      <c r="C44" s="2" t="inlineStr">
        <is>
          <t>СУММА УСЛУГ</t>
        </is>
      </c>
      <c r="D44" t="inlineStr">
        <is>
          <t>238800.00</t>
        </is>
      </c>
      <c r="E44" t="n">
        <v>0</v>
      </c>
      <c r="F44" t="n">
        <v>0</v>
      </c>
      <c r="G44" s="4" t="n">
        <v>0</v>
      </c>
      <c r="H44" s="4">
        <f>E44*F44*G44</f>
        <v/>
      </c>
      <c r="I44" s="4" t="n">
        <v>0</v>
      </c>
      <c r="J44" s="4">
        <f>E44*F44*I44</f>
        <v/>
      </c>
      <c r="K44" s="4">
        <f>H44-J44</f>
        <v/>
      </c>
    </row>
    <row r="45">
      <c r="B45" t="n">
        <v>31</v>
      </c>
      <c r="C45">
        <f>= ФИНАНСОВЫЙ ИТОГ ==</f>
        <v/>
      </c>
      <c r="D45" t="inlineStr">
        <is>
          <t>усл.</t>
        </is>
      </c>
      <c r="E45" t="n">
        <v>1</v>
      </c>
      <c r="F45" t="n">
        <v>1</v>
      </c>
      <c r="G45" s="4" t="n">
        <v>0</v>
      </c>
      <c r="H45" s="4">
        <f>E45*F45*G45</f>
        <v/>
      </c>
      <c r="I45" s="4" t="n">
        <v>0</v>
      </c>
      <c r="J45" s="4">
        <f>E45*F45*I45</f>
        <v/>
      </c>
      <c r="K45" s="4">
        <f>H45-J45</f>
        <v/>
      </c>
    </row>
    <row r="46">
      <c r="C46" s="2" t="inlineStr">
        <is>
          <t>Агентское вознаграждение (10% от услуг)</t>
        </is>
      </c>
      <c r="D46" t="inlineStr">
        <is>
          <t>усл.</t>
        </is>
      </c>
      <c r="E46" t="n">
        <v>1</v>
      </c>
      <c r="F46" t="n">
        <v>1</v>
      </c>
      <c r="G46" s="4" t="n">
        <v>23880</v>
      </c>
      <c r="H46" s="4">
        <f>E46*F46*G46</f>
        <v/>
      </c>
      <c r="I46" s="4" t="n">
        <v>0</v>
      </c>
      <c r="J46" s="4">
        <f>E46*F46*I46</f>
        <v/>
      </c>
      <c r="K46" s="4">
        <f>H46-J46</f>
        <v/>
      </c>
    </row>
    <row r="47">
      <c r="C47" s="2" t="inlineStr">
        <is>
          <t>Налоги и сборы (10% от оборота)</t>
        </is>
      </c>
      <c r="D47" t="inlineStr">
        <is>
          <t>усл.</t>
        </is>
      </c>
      <c r="E47" t="n">
        <v>1</v>
      </c>
      <c r="F47" t="n">
        <v>1</v>
      </c>
      <c r="G47" s="4" t="n">
        <v>29186.67</v>
      </c>
      <c r="H47" s="4">
        <f>E47*F47*G47</f>
        <v/>
      </c>
      <c r="I47" s="4" t="n">
        <v>0</v>
      </c>
      <c r="J47" s="4">
        <f>E47*F47*I47</f>
        <v/>
      </c>
      <c r="K47" s="4">
        <f>H47-J47</f>
        <v/>
      </c>
    </row>
    <row r="48">
      <c r="C48" s="2" t="inlineStr">
        <is>
          <t>ИТОГО СТОИМОСТЬ ТИМБИЛДИНГА</t>
        </is>
      </c>
      <c r="D48" t="inlineStr">
        <is>
          <t>291866.67</t>
        </is>
      </c>
      <c r="E48" t="n">
        <v>0</v>
      </c>
      <c r="F48" t="n">
        <v>0</v>
      </c>
      <c r="G48" s="4" t="n">
        <v>0</v>
      </c>
      <c r="H48" s="4">
        <f>E48*F48*G48</f>
        <v/>
      </c>
      <c r="I48" s="4" t="n">
        <v>0</v>
      </c>
      <c r="J48" s="4">
        <f>E48*F48*I48</f>
        <v/>
      </c>
      <c r="K48" s="4">
        <f>H48-J48</f>
        <v/>
      </c>
    </row>
    <row r="49">
      <c r="B49" t="n">
        <v>32</v>
      </c>
      <c r="C49">
        <f>= ЗАТРАТЫ НА ПРОГРАММУ ==</f>
        <v/>
      </c>
      <c r="D49" t="inlineStr">
        <is>
          <t>усл.</t>
        </is>
      </c>
      <c r="E49" t="n">
        <v>1</v>
      </c>
      <c r="F49" t="n">
        <v>1</v>
      </c>
      <c r="G49" s="4" t="n">
        <v>0</v>
      </c>
      <c r="H49" s="4">
        <f>E49*F49*G49</f>
        <v/>
      </c>
      <c r="I49" s="4" t="n">
        <v>0</v>
      </c>
      <c r="J49" s="4">
        <f>E49*F49*I49</f>
        <v/>
      </c>
      <c r="K49" s="4">
        <f>H49-J49</f>
        <v/>
      </c>
    </row>
    <row r="50">
      <c r="B50" t="n">
        <v>33</v>
      </c>
      <c r="C50" t="inlineStr">
        <is>
          <t>Ведущий мероприятия</t>
        </is>
      </c>
      <c r="D50" t="inlineStr">
        <is>
          <t>чел.</t>
        </is>
      </c>
      <c r="E50" t="n">
        <v>1</v>
      </c>
      <c r="F50" t="n">
        <v>1</v>
      </c>
      <c r="G50" s="4" t="n">
        <v>20000</v>
      </c>
      <c r="H50" s="4">
        <f>E50*F50*G50</f>
        <v/>
      </c>
      <c r="I50" s="4" t="n">
        <v>0</v>
      </c>
      <c r="J50" s="4">
        <f>E50*F50*I50</f>
        <v/>
      </c>
      <c r="K50" s="4">
        <f>H50-J50</f>
        <v/>
      </c>
    </row>
    <row r="51">
      <c r="B51" t="n">
        <v>34</v>
      </c>
      <c r="C51" t="inlineStr">
        <is>
          <t>Реквизит для программы (выдача со склада)</t>
        </is>
      </c>
      <c r="D51" t="inlineStr">
        <is>
          <t>компл.</t>
        </is>
      </c>
      <c r="E51" t="n">
        <v>1</v>
      </c>
      <c r="F51" t="n">
        <v>1</v>
      </c>
      <c r="G51" s="4" t="n">
        <v>1000</v>
      </c>
      <c r="H51" s="4">
        <f>E51*F51*G51</f>
        <v/>
      </c>
      <c r="I51" s="4" t="n">
        <v>0</v>
      </c>
      <c r="J51" s="4">
        <f>E51*F51*I51</f>
        <v/>
      </c>
      <c r="K51" s="4">
        <f>H51-J51</f>
        <v/>
      </c>
    </row>
    <row r="52">
      <c r="B52" t="n">
        <v>35</v>
      </c>
      <c r="C52" t="inlineStr">
        <is>
          <t>Тимлидеры / Помощники ведущего</t>
        </is>
      </c>
      <c r="D52" t="inlineStr">
        <is>
          <t>чел.</t>
        </is>
      </c>
      <c r="E52" t="n">
        <v>3</v>
      </c>
      <c r="F52" t="n">
        <v>1</v>
      </c>
      <c r="G52" s="4" t="n">
        <v>22500</v>
      </c>
      <c r="H52" s="4">
        <f>E52*F52*G52</f>
        <v/>
      </c>
      <c r="I52" s="4" t="n">
        <v>0</v>
      </c>
      <c r="J52" s="4">
        <f>E52*F52*I52</f>
        <v/>
      </c>
      <c r="K52" s="4">
        <f>H52-J52</f>
        <v/>
      </c>
    </row>
    <row r="53">
      <c r="B53" t="n">
        <v>36</v>
      </c>
      <c r="C53" t="inlineStr">
        <is>
          <t>Приз для команды-победителя</t>
        </is>
      </c>
      <c r="D53" t="inlineStr">
        <is>
          <t>шт.</t>
        </is>
      </c>
      <c r="E53" t="n">
        <v>1</v>
      </c>
      <c r="F53" t="n">
        <v>1</v>
      </c>
      <c r="G53" s="4" t="n">
        <v>1000</v>
      </c>
      <c r="H53" s="4">
        <f>E53*F53*G53</f>
        <v/>
      </c>
      <c r="I53" s="4" t="n">
        <v>0</v>
      </c>
      <c r="J53" s="4">
        <f>E53*F53*I53</f>
        <v/>
      </c>
      <c r="K53" s="4">
        <f>H53-J53</f>
        <v/>
      </c>
    </row>
    <row r="54">
      <c r="B54" t="n">
        <v>37</v>
      </c>
      <c r="C54" t="inlineStr">
        <is>
          <t>Распечатка и подготовка карт</t>
        </is>
      </c>
      <c r="D54" t="inlineStr">
        <is>
          <t>шт.</t>
        </is>
      </c>
      <c r="E54" t="n">
        <v>1</v>
      </c>
      <c r="F54" t="n">
        <v>1</v>
      </c>
      <c r="G54" s="4" t="n">
        <v>300</v>
      </c>
      <c r="H54" s="4">
        <f>E54*F54*G54</f>
        <v/>
      </c>
      <c r="I54" s="4" t="n">
        <v>0</v>
      </c>
      <c r="J54" s="4">
        <f>E54*F54*I54</f>
        <v/>
      </c>
      <c r="K54" s="4">
        <f>H54-J54</f>
        <v/>
      </c>
    </row>
    <row r="55">
      <c r="B55" t="n">
        <v>38</v>
      </c>
      <c r="C55">
        <f>= ЗАТРАТЫ НА ТЕХНИКУ И ЛОГИСТИКУ ==</f>
        <v/>
      </c>
      <c r="D55" t="inlineStr">
        <is>
          <t>усл.</t>
        </is>
      </c>
      <c r="E55" t="n">
        <v>1</v>
      </c>
      <c r="F55" t="n">
        <v>1</v>
      </c>
      <c r="G55" s="4" t="n">
        <v>0</v>
      </c>
      <c r="H55" s="4">
        <f>E55*F55*G55</f>
        <v/>
      </c>
      <c r="I55" s="4" t="n">
        <v>0</v>
      </c>
      <c r="J55" s="4">
        <f>E55*F55*I55</f>
        <v/>
      </c>
      <c r="K55" s="4">
        <f>H55-J55</f>
        <v/>
      </c>
    </row>
    <row r="56">
      <c r="B56" t="n">
        <v>39</v>
      </c>
      <c r="C56" t="inlineStr">
        <is>
          <t>Колонка и микрофон</t>
        </is>
      </c>
      <c r="D56" t="inlineStr">
        <is>
          <t>компл.</t>
        </is>
      </c>
      <c r="E56" t="n">
        <v>1</v>
      </c>
      <c r="F56" t="n">
        <v>1</v>
      </c>
      <c r="G56" s="4" t="n">
        <v>0</v>
      </c>
      <c r="H56" s="4">
        <f>E56*F56*G56</f>
        <v/>
      </c>
      <c r="I56" s="4" t="n">
        <v>0</v>
      </c>
      <c r="J56" s="4">
        <f>E56*F56*I56</f>
        <v/>
      </c>
      <c r="K56" s="4">
        <f>H56-J56</f>
        <v/>
      </c>
    </row>
    <row r="57">
      <c r="B57" t="n">
        <v>40</v>
      </c>
      <c r="C57" t="inlineStr">
        <is>
          <t>Монтаж и демонтаж</t>
        </is>
      </c>
      <c r="D57" t="inlineStr">
        <is>
          <t>усл.</t>
        </is>
      </c>
      <c r="E57" t="n">
        <v>1</v>
      </c>
      <c r="F57" t="n">
        <v>1</v>
      </c>
      <c r="G57" s="4" t="n">
        <v>10000</v>
      </c>
      <c r="H57" s="4">
        <f>E57*F57*G57</f>
        <v/>
      </c>
      <c r="I57" s="4" t="n">
        <v>0</v>
      </c>
      <c r="J57" s="4">
        <f>E57*F57*I57</f>
        <v/>
      </c>
      <c r="K57" s="4">
        <f>H57-J57</f>
        <v/>
      </c>
    </row>
    <row r="58">
      <c r="B58" t="n">
        <v>41</v>
      </c>
      <c r="C58" t="inlineStr">
        <is>
          <t>Транспортные расходы</t>
        </is>
      </c>
      <c r="D58" t="inlineStr">
        <is>
          <t>усл.</t>
        </is>
      </c>
      <c r="E58" t="n">
        <v>1</v>
      </c>
      <c r="F58" t="n">
        <v>1</v>
      </c>
      <c r="G58" s="4" t="n">
        <v>0</v>
      </c>
      <c r="H58" s="4">
        <f>E58*F58*G58</f>
        <v/>
      </c>
      <c r="I58" s="4" t="n">
        <v>0</v>
      </c>
      <c r="J58" s="4">
        <f>E58*F58*I58</f>
        <v/>
      </c>
      <c r="K58" s="4">
        <f>H58-J58</f>
        <v/>
      </c>
    </row>
    <row r="59">
      <c r="B59" t="n">
        <v>42</v>
      </c>
      <c r="C59">
        <f>= ЗАТРАТЫ НА ПЕРСОНАЛ И ПЛОЩАДКУ ==</f>
        <v/>
      </c>
      <c r="D59" t="inlineStr">
        <is>
          <t>усл.</t>
        </is>
      </c>
      <c r="E59" t="n">
        <v>1</v>
      </c>
      <c r="F59" t="n">
        <v>1</v>
      </c>
      <c r="G59" s="4" t="n">
        <v>0</v>
      </c>
      <c r="H59" s="4">
        <f>E59*F59*G59</f>
        <v/>
      </c>
      <c r="I59" s="4" t="n">
        <v>0</v>
      </c>
      <c r="J59" s="4">
        <f>E59*F59*I59</f>
        <v/>
      </c>
      <c r="K59" s="4">
        <f>H59-J59</f>
        <v/>
      </c>
    </row>
    <row r="60">
      <c r="B60" t="n">
        <v>43</v>
      </c>
      <c r="C60" t="inlineStr">
        <is>
          <t>Руководитель проекта</t>
        </is>
      </c>
      <c r="D60" t="inlineStr">
        <is>
          <t>чел.</t>
        </is>
      </c>
      <c r="E60" t="n">
        <v>1</v>
      </c>
      <c r="F60" t="n">
        <v>1</v>
      </c>
      <c r="G60" s="4" t="n">
        <v>30000</v>
      </c>
      <c r="H60" s="4">
        <f>E60*F60*G60</f>
        <v/>
      </c>
      <c r="I60" s="4" t="n">
        <v>0</v>
      </c>
      <c r="J60" s="4">
        <f>E60*F60*I60</f>
        <v/>
      </c>
      <c r="K60" s="4">
        <f>H60-J60</f>
        <v/>
      </c>
    </row>
    <row r="61">
      <c r="B61" t="n">
        <v>44</v>
      </c>
      <c r="C61" t="inlineStr">
        <is>
          <t>Координатор на площадке</t>
        </is>
      </c>
      <c r="D61" t="inlineStr">
        <is>
          <t>чел.</t>
        </is>
      </c>
      <c r="E61" t="n">
        <v>1</v>
      </c>
      <c r="F61" t="n">
        <v>1</v>
      </c>
      <c r="G61" s="4" t="n">
        <v>5000</v>
      </c>
      <c r="H61" s="4">
        <f>E61*F61*G61</f>
        <v/>
      </c>
      <c r="I61" s="4" t="n">
        <v>0</v>
      </c>
      <c r="J61" s="4">
        <f>E61*F61*I61</f>
        <v/>
      </c>
      <c r="K61" s="4">
        <f>H61-J61</f>
        <v/>
      </c>
    </row>
    <row r="62">
      <c r="B62" t="n">
        <v>45</v>
      </c>
      <c r="C62" t="inlineStr">
        <is>
          <t>Аренда территории «Лесная поляна»</t>
        </is>
      </c>
      <c r="D62" t="inlineStr">
        <is>
          <t>усл.</t>
        </is>
      </c>
      <c r="E62" t="n">
        <v>1</v>
      </c>
      <c r="F62" t="n">
        <v>1</v>
      </c>
      <c r="G62" s="4" t="n">
        <v>37800</v>
      </c>
      <c r="H62" s="4">
        <f>E62*F62*G62</f>
        <v/>
      </c>
      <c r="I62" s="4" t="n">
        <v>0</v>
      </c>
      <c r="J62" s="4">
        <f>E62*F62*I62</f>
        <v/>
      </c>
      <c r="K62" s="4">
        <f>H62-J62</f>
        <v/>
      </c>
    </row>
    <row r="63">
      <c r="B63" t="n">
        <v>46</v>
      </c>
      <c r="C63" t="inlineStr">
        <is>
          <t>Питание персонала</t>
        </is>
      </c>
      <c r="D63" t="inlineStr">
        <is>
          <t>усл.</t>
        </is>
      </c>
      <c r="E63" t="n">
        <v>1</v>
      </c>
      <c r="F63" t="n">
        <v>1</v>
      </c>
      <c r="G63" s="4" t="n">
        <v>3000</v>
      </c>
      <c r="H63" s="4">
        <f>E63*F63*G63</f>
        <v/>
      </c>
      <c r="I63" s="4" t="n">
        <v>0</v>
      </c>
      <c r="J63" s="4">
        <f>E63*F63*I63</f>
        <v/>
      </c>
      <c r="K63" s="4">
        <f>H63-J63</f>
        <v/>
      </c>
    </row>
    <row r="64">
      <c r="C64" s="2" t="inlineStr">
        <is>
          <t>ИТОГО СЕБЕСТОИМОСТЬ</t>
        </is>
      </c>
      <c r="D64" t="inlineStr">
        <is>
          <t>130600.00</t>
        </is>
      </c>
      <c r="E64" t="n">
        <v>0</v>
      </c>
      <c r="F64" t="n">
        <v>0</v>
      </c>
      <c r="G64" s="4" t="n">
        <v>0</v>
      </c>
      <c r="H64" s="4">
        <f>E64*F64*G64</f>
        <v/>
      </c>
      <c r="I64" s="4" t="n">
        <v>0</v>
      </c>
      <c r="J64" s="4">
        <f>E64*F64*I64</f>
        <v/>
      </c>
      <c r="K64" s="4">
        <f>H64-J64</f>
        <v/>
      </c>
    </row>
    <row r="65">
      <c r="B65" t="n">
        <v>47</v>
      </c>
      <c r="C65" t="inlineStr">
        <is>
          <t>МАРЖА И НАЦЕНКИ</t>
        </is>
      </c>
      <c r="D65" t="inlineStr">
        <is>
          <t>161266.67</t>
        </is>
      </c>
      <c r="E65" t="n">
        <v>1</v>
      </c>
      <c r="F65" t="n">
        <v>1</v>
      </c>
      <c r="G65" s="4" t="n">
        <v>0</v>
      </c>
      <c r="H65" s="4">
        <f>E65*F65*G65</f>
        <v/>
      </c>
      <c r="I65" s="4" t="n">
        <v>0</v>
      </c>
      <c r="J65" s="4">
        <f>E65*F65*I65</f>
        <v/>
      </c>
      <c r="K65" s="4">
        <f>H65-J65</f>
        <v/>
      </c>
    </row>
    <row r="66">
      <c r="C66" s="2" t="inlineStr">
        <is>
          <t>ОБОРОТ С УЧЕТОМ НАЛОГОВ</t>
        </is>
      </c>
      <c r="D66" t="inlineStr">
        <is>
          <t>291866.67</t>
        </is>
      </c>
      <c r="E66" t="n">
        <v>0</v>
      </c>
      <c r="F66" t="n">
        <v>0</v>
      </c>
      <c r="G66" s="4" t="n">
        <v>0</v>
      </c>
      <c r="H66" s="4">
        <f>E66*F66*G66</f>
        <v/>
      </c>
      <c r="I66" s="4" t="n">
        <v>0</v>
      </c>
      <c r="J66" s="4">
        <f>E66*F66*I66</f>
        <v/>
      </c>
      <c r="K66" s="4">
        <f>H66-J66</f>
        <v/>
      </c>
    </row>
    <row r="68">
      <c r="G68" s="5" t="inlineStr">
        <is>
          <t>ИТОГО К ОПЛАТЕ:</t>
        </is>
      </c>
      <c r="H68" s="6" t="n">
        <v>108000</v>
      </c>
      <c r="J68" s="2" t="inlineStr">
        <is>
          <t>Чистая маржа:</t>
        </is>
      </c>
      <c r="K68" s="7">
        <f>H68-SUM(J10:J66)</f>
        <v/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2026-02-11T06:49:42Z</dcterms:created>
  <dcterms:modified xsi:type="dcterms:W3CDTF">2026-02-11T06:49:42Z</dcterms:modified>
</cp:coreProperties>
</file>