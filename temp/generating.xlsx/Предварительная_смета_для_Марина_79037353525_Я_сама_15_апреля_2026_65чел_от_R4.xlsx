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3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КОММЕРЧЕСКОЕ ПРЕДЛОЖЕНИЕ: R4 Event Design</t>
        </is>
      </c>
    </row>
    <row r="4">
      <c r="B4" s="2" t="inlineStr">
        <is>
          <t>Заказчик:</t>
        </is>
      </c>
      <c r="C4" t="inlineStr">
        <is>
          <t>Марина +79037353525 (Я сама)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15 апреля 2026</t>
        </is>
      </c>
    </row>
    <row r="7">
      <c r="B7" s="2" t="inlineStr">
        <is>
          <t>Кол-во гостей:</t>
        </is>
      </c>
      <c r="C7" t="inlineStr">
        <is>
          <t>65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C10" s="4" t="inlineStr">
        <is>
          <t>ПРОГРАММА И РЕКВИЗИТ</t>
        </is>
      </c>
    </row>
    <row r="11">
      <c r="B11" t="n">
        <v>1</v>
      </c>
      <c r="C11" t="inlineStr">
        <is>
          <t>Ведущий мероприятия</t>
        </is>
      </c>
      <c r="D11" t="inlineStr">
        <is>
          <t>чел.</t>
        </is>
      </c>
      <c r="E11" t="n">
        <v>1</v>
      </c>
      <c r="F11" t="n">
        <v>1</v>
      </c>
      <c r="G11" s="5" t="n">
        <v>30000</v>
      </c>
      <c r="H11" s="5">
        <f>E11*F11*G11</f>
        <v/>
      </c>
    </row>
    <row r="12">
      <c r="B12" t="n">
        <v>2</v>
      </c>
      <c r="C12" t="inlineStr">
        <is>
          <t>Команда тимлидеров</t>
        </is>
      </c>
      <c r="D12" t="inlineStr">
        <is>
          <t>чел.</t>
        </is>
      </c>
      <c r="E12" t="n">
        <v>7</v>
      </c>
      <c r="F12" t="n">
        <v>1</v>
      </c>
      <c r="G12" s="5" t="n">
        <v>84000</v>
      </c>
      <c r="H12" s="5">
        <f>E12*F12*G12</f>
        <v/>
      </c>
    </row>
    <row r="13">
      <c r="B13" t="n">
        <v>3</v>
      </c>
      <c r="C13" t="inlineStr">
        <is>
          <t>Реквизит для тимбилдинга</t>
        </is>
      </c>
      <c r="D13" t="inlineStr">
        <is>
          <t>компл.</t>
        </is>
      </c>
      <c r="E13" t="n">
        <v>1</v>
      </c>
      <c r="F13" t="n">
        <v>1</v>
      </c>
      <c r="G13" s="5" t="n">
        <v>50000</v>
      </c>
      <c r="H13" s="5">
        <f>E13*F13*G13</f>
        <v/>
      </c>
    </row>
    <row r="14">
      <c r="B14" t="n">
        <v>4</v>
      </c>
      <c r="C14" t="inlineStr">
        <is>
          <t>Распечатка карты</t>
        </is>
      </c>
      <c r="D14" t="inlineStr">
        <is>
          <t>усл.</t>
        </is>
      </c>
      <c r="E14" t="n">
        <v>1</v>
      </c>
      <c r="F14" t="n">
        <v>1</v>
      </c>
      <c r="G14" s="5" t="n">
        <v>0</v>
      </c>
      <c r="H14" s="5">
        <f>E14*F14*G14</f>
        <v/>
      </c>
    </row>
    <row r="15">
      <c r="B15" t="n">
        <v>5</v>
      </c>
      <c r="C15" t="inlineStr">
        <is>
          <t>Приз для победителей</t>
        </is>
      </c>
      <c r="D15" t="inlineStr">
        <is>
          <t>шт.</t>
        </is>
      </c>
      <c r="E15" t="n">
        <v>1</v>
      </c>
      <c r="F15" t="n">
        <v>1</v>
      </c>
      <c r="G15" s="5" t="n">
        <v>0</v>
      </c>
      <c r="H15" s="5">
        <f>E15*F15*G15</f>
        <v/>
      </c>
    </row>
    <row r="16">
      <c r="C16" s="4" t="inlineStr">
        <is>
          <t>ЛОГИСТИКА И ТЕХНИЧЕСКОЕ ОБЕСПЕЧЕНИЕ</t>
        </is>
      </c>
    </row>
    <row r="17">
      <c r="B17" t="n">
        <v>6</v>
      </c>
      <c r="C17" t="inlineStr">
        <is>
          <t>Аренда колонки и микрофона</t>
        </is>
      </c>
      <c r="D17" t="inlineStr">
        <is>
          <t>компл.</t>
        </is>
      </c>
      <c r="E17" t="n">
        <v>1</v>
      </c>
      <c r="F17" t="n">
        <v>1</v>
      </c>
      <c r="G17" s="5" t="n">
        <v>10000</v>
      </c>
      <c r="H17" s="5">
        <f>E17*F17*G17</f>
        <v/>
      </c>
    </row>
    <row r="18">
      <c r="B18" t="n">
        <v>7</v>
      </c>
      <c r="C18" t="inlineStr">
        <is>
          <t>Монтаж-демонтаж</t>
        </is>
      </c>
      <c r="D18" t="inlineStr">
        <is>
          <t>усл.</t>
        </is>
      </c>
      <c r="E18" t="n">
        <v>1</v>
      </c>
      <c r="F18" t="n">
        <v>1</v>
      </c>
      <c r="G18" s="5" t="n">
        <v>15000</v>
      </c>
      <c r="H18" s="5">
        <f>E18*F18*G18</f>
        <v/>
      </c>
    </row>
    <row r="19">
      <c r="B19" t="n">
        <v>8</v>
      </c>
      <c r="C19" t="inlineStr">
        <is>
          <t>Транспортные расходы</t>
        </is>
      </c>
      <c r="D19" t="inlineStr">
        <is>
          <t>усл.</t>
        </is>
      </c>
      <c r="E19" t="n">
        <v>1</v>
      </c>
      <c r="F19" t="n">
        <v>1</v>
      </c>
      <c r="G19" s="5" t="n">
        <v>20000</v>
      </c>
      <c r="H19" s="5">
        <f>E19*F19*G19</f>
        <v/>
      </c>
    </row>
    <row r="20">
      <c r="C20" s="4" t="inlineStr">
        <is>
          <t>КООРДИНАЦИЯ И ПЕРСОНАЛ</t>
        </is>
      </c>
    </row>
    <row r="21">
      <c r="B21" t="n">
        <v>9</v>
      </c>
      <c r="C21" t="inlineStr">
        <is>
          <t>Руководитель проекта</t>
        </is>
      </c>
      <c r="D21" t="inlineStr">
        <is>
          <t>чел.</t>
        </is>
      </c>
      <c r="E21" t="n">
        <v>1</v>
      </c>
      <c r="F21" t="n">
        <v>1</v>
      </c>
      <c r="G21" s="5" t="n">
        <v>30000</v>
      </c>
      <c r="H21" s="5">
        <f>E21*F21*G21</f>
        <v/>
      </c>
    </row>
    <row r="22">
      <c r="B22" t="n">
        <v>10</v>
      </c>
      <c r="C22" t="inlineStr">
        <is>
          <t>Координатор на площадке</t>
        </is>
      </c>
      <c r="D22" t="inlineStr">
        <is>
          <t>чел.</t>
        </is>
      </c>
      <c r="E22" t="n">
        <v>1</v>
      </c>
      <c r="F22" t="n">
        <v>1</v>
      </c>
      <c r="G22" s="5" t="n">
        <v>10000</v>
      </c>
      <c r="H22" s="5">
        <f>E22*F22*G22</f>
        <v/>
      </c>
    </row>
    <row r="23">
      <c r="B23" t="n">
        <v>11</v>
      </c>
      <c r="C23" t="inlineStr">
        <is>
          <t>Затраты на питание персонала</t>
        </is>
      </c>
      <c r="D23" t="inlineStr">
        <is>
          <t>усл.</t>
        </is>
      </c>
      <c r="E23" t="n">
        <v>1</v>
      </c>
      <c r="F23" t="n">
        <v>1</v>
      </c>
      <c r="G23" s="5" t="n">
        <v>0</v>
      </c>
      <c r="H23" s="5">
        <f>E23*F23*G23</f>
        <v/>
      </c>
    </row>
    <row r="24">
      <c r="C24" s="4" t="inlineStr">
        <is>
          <t>ПЛОЩАДКА</t>
        </is>
      </c>
    </row>
    <row r="25">
      <c r="B25" t="n">
        <v>12</v>
      </c>
      <c r="C25" t="inlineStr">
        <is>
          <t>Аренда территории "Лесная поляна"</t>
        </is>
      </c>
      <c r="D25" t="inlineStr">
        <is>
          <t>усл.</t>
        </is>
      </c>
      <c r="E25" t="n">
        <v>1</v>
      </c>
      <c r="F25" t="n">
        <v>1</v>
      </c>
      <c r="G25" s="5" t="n">
        <v>49500</v>
      </c>
      <c r="H25" s="5">
        <f>E25*F25*G25</f>
        <v/>
      </c>
    </row>
    <row r="26">
      <c r="C26" s="4" t="inlineStr">
        <is>
          <t>ОБЩИЙ РАСЧЕТ УСЛУГ</t>
        </is>
      </c>
    </row>
    <row r="27">
      <c r="B27" t="n">
        <v>13</v>
      </c>
      <c r="C27" t="inlineStr">
        <is>
          <t>Накладные расходы и расходы на агентство 10%</t>
        </is>
      </c>
      <c r="D27" t="inlineStr">
        <is>
          <t>усл.</t>
        </is>
      </c>
      <c r="E27" t="n">
        <v>1</v>
      </c>
      <c r="F27" t="n">
        <v>1</v>
      </c>
      <c r="G27" s="5" t="n">
        <v>32850</v>
      </c>
      <c r="H27" s="5">
        <f>E27*F27*G27</f>
        <v/>
      </c>
    </row>
    <row r="28">
      <c r="C28" s="4" t="inlineStr">
        <is>
          <t>ИТОГИ</t>
        </is>
      </c>
    </row>
    <row r="29">
      <c r="C29" s="2" t="inlineStr">
        <is>
          <t>Агентское вознаграждение 10%</t>
        </is>
      </c>
      <c r="D29" t="inlineStr">
        <is>
          <t>усл.</t>
        </is>
      </c>
      <c r="E29" t="n">
        <v>1</v>
      </c>
      <c r="F29" t="n">
        <v>1</v>
      </c>
      <c r="G29" s="5" t="n">
        <v>32850</v>
      </c>
      <c r="H29" s="5">
        <f>E29*F29*G29</f>
        <v/>
      </c>
    </row>
    <row r="30">
      <c r="C30" s="2" t="inlineStr">
        <is>
          <t>Налоги (10% от оборота)</t>
        </is>
      </c>
      <c r="D30" t="inlineStr">
        <is>
          <t>усл.</t>
        </is>
      </c>
      <c r="E30" t="n">
        <v>1</v>
      </c>
      <c r="F30" t="n">
        <v>1</v>
      </c>
      <c r="G30" s="5" t="n">
        <v>40150</v>
      </c>
      <c r="H30" s="5">
        <f>E30*F30*G30</f>
        <v/>
      </c>
    </row>
    <row r="31">
      <c r="C31" s="2" t="inlineStr">
        <is>
          <t>Всего за тимбилдинг</t>
        </is>
      </c>
      <c r="D31" t="inlineStr">
        <is>
          <t>усл.</t>
        </is>
      </c>
      <c r="E31" t="n">
        <v>1</v>
      </c>
      <c r="F31" t="n">
        <v>1</v>
      </c>
      <c r="G31" s="5" t="n">
        <v>401500</v>
      </c>
      <c r="H31" s="5">
        <f>E31*F31*G31</f>
        <v/>
      </c>
    </row>
    <row r="33">
      <c r="G33" s="6" t="inlineStr">
        <is>
          <t>ИТОГО К ОПЛАТЕ:</t>
        </is>
      </c>
      <c r="H33" s="7">
        <f>SUM(H10:H31)</f>
        <v/>
      </c>
    </row>
  </sheetData>
  <mergeCells count="7">
    <mergeCell ref="C26:H26"/>
    <mergeCell ref="C10:H10"/>
    <mergeCell ref="C16:H16"/>
    <mergeCell ref="C24:H24"/>
    <mergeCell ref="C28:H28"/>
    <mergeCell ref="B2:H2"/>
    <mergeCell ref="C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2026-02-11T10:57:26Z</dcterms:created>
  <dcterms:modified xsi:type="dcterms:W3CDTF">2026-02-11T10:57:26Z</dcterms:modified>
</cp:coreProperties>
</file>