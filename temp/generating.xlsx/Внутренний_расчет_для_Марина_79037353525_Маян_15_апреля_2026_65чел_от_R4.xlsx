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ме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E67E22"/>
        <bgColor rgb="00E67E22"/>
      </patternFill>
    </fill>
    <fill>
      <patternFill patternType="solid">
        <fgColor rgb="002C3E50"/>
        <bgColor rgb="002C3E50"/>
      </patternFill>
    </fill>
    <fill>
      <patternFill patternType="solid">
        <fgColor rgb="00ECF0F1"/>
        <bgColor rgb="00ECF0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2" fillId="4" borderId="0" pivotButton="0" quotePrefix="0" xfId="0"/>
    <xf numFmtId="3" fontId="0" fillId="0" borderId="0" pivotButton="0" quotePrefix="0" xfId="0"/>
    <xf numFmtId="0" fontId="4" fillId="0" borderId="0" pivotButton="0" quotePrefix="0" xfId="0"/>
    <xf numFmtId="3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31"/>
  <sheetViews>
    <sheetView workbookViewId="0">
      <selection activeCell="A1" sqref="A1"/>
    </sheetView>
  </sheetViews>
  <sheetFormatPr baseColWidth="8" defaultRowHeight="15"/>
  <cols>
    <col width="5" customWidth="1" min="2" max="2"/>
    <col width="55" customWidth="1" min="3" max="3"/>
    <col width="18" customWidth="1" min="8" max="8"/>
  </cols>
  <sheetData>
    <row r="2">
      <c r="B2" s="1" t="inlineStr">
        <is>
          <t>РАСЧЕТ ПРОЕКТА (ВНУТРЕННИЙ): R4 Event Design</t>
        </is>
      </c>
    </row>
    <row r="4">
      <c r="B4" s="2" t="inlineStr">
        <is>
          <t>Заказчик:</t>
        </is>
      </c>
      <c r="C4" t="inlineStr">
        <is>
          <t>Марина +79037353525 (Маян)</t>
        </is>
      </c>
    </row>
    <row r="5">
      <c r="B5" s="2" t="inlineStr">
        <is>
          <t>Локация:</t>
        </is>
      </c>
      <c r="C5" t="inlineStr">
        <is>
          <t>Курорт Завидово, отель Рэдиссон Завидово</t>
        </is>
      </c>
    </row>
    <row r="6">
      <c r="B6" s="2" t="inlineStr">
        <is>
          <t>Дата:</t>
        </is>
      </c>
      <c r="C6" t="inlineStr">
        <is>
          <t>15 апреля 2026</t>
        </is>
      </c>
    </row>
    <row r="7">
      <c r="B7" s="2" t="inlineStr">
        <is>
          <t>Кол-во гостей:</t>
        </is>
      </c>
      <c r="C7" t="inlineStr">
        <is>
          <t>65</t>
        </is>
      </c>
    </row>
    <row r="9">
      <c r="B9" s="3" t="inlineStr">
        <is>
          <t>№</t>
        </is>
      </c>
      <c r="C9" s="3" t="inlineStr">
        <is>
          <t>Наименование</t>
        </is>
      </c>
      <c r="D9" s="3" t="inlineStr">
        <is>
          <t>Ед.</t>
        </is>
      </c>
      <c r="E9" s="3" t="inlineStr">
        <is>
          <t>Кол-во</t>
        </is>
      </c>
      <c r="F9" s="3" t="inlineStr">
        <is>
          <t>Дни/Часы</t>
        </is>
      </c>
      <c r="G9" s="3" t="inlineStr">
        <is>
          <t>Цена</t>
        </is>
      </c>
      <c r="H9" s="3" t="inlineStr">
        <is>
          <t>Сумма (Выручка)</t>
        </is>
      </c>
      <c r="I9" s="3" t="inlineStr">
        <is>
          <t>Себест. ед.</t>
        </is>
      </c>
      <c r="J9" s="3" t="inlineStr">
        <is>
          <t>Итого Себест.</t>
        </is>
      </c>
      <c r="K9" s="3" t="inlineStr">
        <is>
          <t>Маржа</t>
        </is>
      </c>
    </row>
    <row r="10">
      <c r="C10" s="4" t="inlineStr">
        <is>
          <t>ПРОГРАММА</t>
        </is>
      </c>
    </row>
    <row r="11">
      <c r="B11" t="n">
        <v>1</v>
      </c>
      <c r="C11" t="inlineStr">
        <is>
          <t>Ведущий мероприятия</t>
        </is>
      </c>
      <c r="D11" t="inlineStr">
        <is>
          <t>чел.</t>
        </is>
      </c>
      <c r="E11" t="n">
        <v>1</v>
      </c>
      <c r="F11" t="n">
        <v>1</v>
      </c>
      <c r="G11" s="5" t="n">
        <v>30000</v>
      </c>
      <c r="H11" s="5">
        <f>E11*F11*G11</f>
        <v/>
      </c>
      <c r="I11" s="5" t="n">
        <v>20000</v>
      </c>
      <c r="J11" s="5">
        <f>E11*F11*I11</f>
        <v/>
      </c>
      <c r="K11" s="5">
        <f>H11-J11</f>
        <v/>
      </c>
    </row>
    <row r="12">
      <c r="B12" t="n">
        <v>2</v>
      </c>
      <c r="C12" t="inlineStr">
        <is>
          <t>Реквизит для тимбилдинга</t>
        </is>
      </c>
      <c r="D12" t="inlineStr">
        <is>
          <t>компл.</t>
        </is>
      </c>
      <c r="E12" t="n">
        <v>1</v>
      </c>
      <c r="F12" t="n">
        <v>1</v>
      </c>
      <c r="G12" s="5" t="n">
        <v>50000</v>
      </c>
      <c r="H12" s="5">
        <f>E12*F12*G12</f>
        <v/>
      </c>
      <c r="I12" s="5" t="n">
        <v>1000</v>
      </c>
      <c r="J12" s="5">
        <f>E12*F12*I12</f>
        <v/>
      </c>
      <c r="K12" s="5">
        <f>H12-J12</f>
        <v/>
      </c>
    </row>
    <row r="13">
      <c r="B13" t="n">
        <v>3</v>
      </c>
      <c r="C13" t="inlineStr">
        <is>
          <t>Тимлидеры</t>
        </is>
      </c>
      <c r="D13" t="inlineStr">
        <is>
          <t>чел.</t>
        </is>
      </c>
      <c r="E13" t="n">
        <v>7</v>
      </c>
      <c r="F13" t="n">
        <v>1</v>
      </c>
      <c r="G13" s="5" t="n">
        <v>84000</v>
      </c>
      <c r="H13" s="5">
        <f>E13*F13*G13</f>
        <v/>
      </c>
      <c r="I13" s="5" t="n">
        <v>52500</v>
      </c>
      <c r="J13" s="5">
        <f>E13*F13*I13</f>
        <v/>
      </c>
      <c r="K13" s="5">
        <f>H13-J13</f>
        <v/>
      </c>
    </row>
    <row r="14">
      <c r="B14" t="n">
        <v>4</v>
      </c>
      <c r="C14" t="inlineStr">
        <is>
          <t>Приз для победителей</t>
        </is>
      </c>
      <c r="D14" t="inlineStr">
        <is>
          <t>усл.</t>
        </is>
      </c>
      <c r="E14" t="n">
        <v>1</v>
      </c>
      <c r="F14" t="n">
        <v>1</v>
      </c>
      <c r="G14" s="5" t="n">
        <v>0</v>
      </c>
      <c r="H14" s="5">
        <f>E14*F14*G14</f>
        <v/>
      </c>
      <c r="I14" s="5" t="n">
        <v>1000</v>
      </c>
      <c r="J14" s="5">
        <f>E14*F14*I14</f>
        <v/>
      </c>
      <c r="K14" s="5">
        <f>H14-J14</f>
        <v/>
      </c>
    </row>
    <row r="15">
      <c r="B15" t="n">
        <v>5</v>
      </c>
      <c r="C15" t="inlineStr">
        <is>
          <t>Распечатка карты</t>
        </is>
      </c>
      <c r="D15" t="inlineStr">
        <is>
          <t>усл.</t>
        </is>
      </c>
      <c r="E15" t="n">
        <v>1</v>
      </c>
      <c r="F15" t="n">
        <v>1</v>
      </c>
      <c r="G15" s="5" t="n">
        <v>0</v>
      </c>
      <c r="H15" s="5">
        <f>E15*F15*G15</f>
        <v/>
      </c>
      <c r="I15" s="5" t="n">
        <v>300</v>
      </c>
      <c r="J15" s="5">
        <f>E15*F15*I15</f>
        <v/>
      </c>
      <c r="K15" s="5">
        <f>H15-J15</f>
        <v/>
      </c>
    </row>
    <row r="16">
      <c r="C16" s="4" t="inlineStr">
        <is>
          <t>ПЕРСОНАЛ И КООРДИНАЦИЯ</t>
        </is>
      </c>
    </row>
    <row r="17">
      <c r="B17" t="n">
        <v>6</v>
      </c>
      <c r="C17" t="inlineStr">
        <is>
          <t>Руководитель проекта</t>
        </is>
      </c>
      <c r="D17" t="inlineStr">
        <is>
          <t>чел.</t>
        </is>
      </c>
      <c r="E17" t="n">
        <v>1</v>
      </c>
      <c r="F17" t="n">
        <v>1</v>
      </c>
      <c r="G17" s="5" t="n">
        <v>30000</v>
      </c>
      <c r="H17" s="5">
        <f>E17*F17*G17</f>
        <v/>
      </c>
      <c r="I17" s="5" t="n">
        <v>30000</v>
      </c>
      <c r="J17" s="5">
        <f>E17*F17*I17</f>
        <v/>
      </c>
      <c r="K17" s="5">
        <f>H17-J17</f>
        <v/>
      </c>
    </row>
    <row r="18">
      <c r="B18" t="n">
        <v>7</v>
      </c>
      <c r="C18" t="inlineStr">
        <is>
          <t>Координатор на площадке</t>
        </is>
      </c>
      <c r="D18" t="inlineStr">
        <is>
          <t>чел.</t>
        </is>
      </c>
      <c r="E18" t="n">
        <v>1</v>
      </c>
      <c r="F18" t="n">
        <v>1</v>
      </c>
      <c r="G18" s="5" t="n">
        <v>10000</v>
      </c>
      <c r="H18" s="5">
        <f>E18*F18*G18</f>
        <v/>
      </c>
      <c r="I18" s="5" t="n">
        <v>5000</v>
      </c>
      <c r="J18" s="5">
        <f>E18*F18*I18</f>
        <v/>
      </c>
      <c r="K18" s="5">
        <f>H18-J18</f>
        <v/>
      </c>
    </row>
    <row r="19">
      <c r="B19" t="n">
        <v>8</v>
      </c>
      <c r="C19" t="inlineStr">
        <is>
          <t>Питание персонала</t>
        </is>
      </c>
      <c r="D19" t="inlineStr">
        <is>
          <t>усл.</t>
        </is>
      </c>
      <c r="E19" t="n">
        <v>1</v>
      </c>
      <c r="F19" t="n">
        <v>1</v>
      </c>
      <c r="G19" s="5" t="n">
        <v>0</v>
      </c>
      <c r="H19" s="5">
        <f>E19*F19*G19</f>
        <v/>
      </c>
      <c r="I19" s="5" t="n">
        <v>3000</v>
      </c>
      <c r="J19" s="5">
        <f>E19*F19*I19</f>
        <v/>
      </c>
      <c r="K19" s="5">
        <f>H19-J19</f>
        <v/>
      </c>
    </row>
    <row r="20">
      <c r="C20" s="4" t="inlineStr">
        <is>
          <t>ТЕХНИЧЕСКОЕ ОБЕСПЕЧЕНИЕ И ЛОГИСТИКА</t>
        </is>
      </c>
    </row>
    <row r="21">
      <c r="B21" t="n">
        <v>9</v>
      </c>
      <c r="C21" t="inlineStr">
        <is>
          <t>Колонка и микрофон</t>
        </is>
      </c>
      <c r="D21" t="inlineStr">
        <is>
          <t>компл.</t>
        </is>
      </c>
      <c r="E21" t="n">
        <v>1</v>
      </c>
      <c r="F21" t="n">
        <v>1</v>
      </c>
      <c r="G21" s="5" t="n">
        <v>10000</v>
      </c>
      <c r="H21" s="5">
        <f>E21*F21*G21</f>
        <v/>
      </c>
      <c r="I21" s="5" t="n">
        <v>0</v>
      </c>
      <c r="J21" s="5">
        <f>E21*F21*I21</f>
        <v/>
      </c>
      <c r="K21" s="5">
        <f>H21-J21</f>
        <v/>
      </c>
    </row>
    <row r="22">
      <c r="B22" t="n">
        <v>10</v>
      </c>
      <c r="C22" t="inlineStr">
        <is>
          <t>Монтаж-Демонтаж оборудования</t>
        </is>
      </c>
      <c r="D22" t="inlineStr">
        <is>
          <t>усл.</t>
        </is>
      </c>
      <c r="E22" t="n">
        <v>1</v>
      </c>
      <c r="F22" t="n">
        <v>1</v>
      </c>
      <c r="G22" s="5" t="n">
        <v>15000</v>
      </c>
      <c r="H22" s="5">
        <f>E22*F22*G22</f>
        <v/>
      </c>
      <c r="I22" s="5" t="n">
        <v>10000</v>
      </c>
      <c r="J22" s="5">
        <f>E22*F22*I22</f>
        <v/>
      </c>
      <c r="K22" s="5">
        <f>H22-J22</f>
        <v/>
      </c>
    </row>
    <row r="23">
      <c r="B23" t="n">
        <v>11</v>
      </c>
      <c r="C23" t="inlineStr">
        <is>
          <t>Транспортные расходы</t>
        </is>
      </c>
      <c r="D23" t="inlineStr">
        <is>
          <t>усл.</t>
        </is>
      </c>
      <c r="E23" t="n">
        <v>1</v>
      </c>
      <c r="F23" t="n">
        <v>1</v>
      </c>
      <c r="G23" s="5" t="n">
        <v>20000</v>
      </c>
      <c r="H23" s="5">
        <f>E23*F23*G23</f>
        <v/>
      </c>
      <c r="I23" s="5" t="n">
        <v>0</v>
      </c>
      <c r="J23" s="5">
        <f>E23*F23*I23</f>
        <v/>
      </c>
      <c r="K23" s="5">
        <f>H23-J23</f>
        <v/>
      </c>
    </row>
    <row r="24">
      <c r="C24" s="4" t="inlineStr">
        <is>
          <t>ПЛОЩАДКА И АРЕНДА</t>
        </is>
      </c>
    </row>
    <row r="25">
      <c r="B25" t="n">
        <v>12</v>
      </c>
      <c r="C25" t="inlineStr">
        <is>
          <t>Аренда территории (Лесная поляна 30000 + 65300)</t>
        </is>
      </c>
      <c r="D25" t="inlineStr">
        <is>
          <t>усл.</t>
        </is>
      </c>
      <c r="E25" t="n">
        <v>1</v>
      </c>
      <c r="F25" t="n">
        <v>1</v>
      </c>
      <c r="G25" s="5" t="n">
        <v>49500</v>
      </c>
      <c r="H25" s="5">
        <f>E25*F25*G25</f>
        <v/>
      </c>
      <c r="I25" s="5" t="n">
        <v>49500</v>
      </c>
      <c r="J25" s="5">
        <f>E25*F25*I25</f>
        <v/>
      </c>
      <c r="K25" s="5">
        <f>H25-J25</f>
        <v/>
      </c>
    </row>
    <row r="26">
      <c r="C26" s="4" t="inlineStr">
        <is>
          <t>ИТОГИ</t>
        </is>
      </c>
    </row>
    <row r="27">
      <c r="B27" t="n">
        <v>13</v>
      </c>
      <c r="C27" t="inlineStr">
        <is>
          <t>Накладные расходы и расходы на агентство 10%</t>
        </is>
      </c>
      <c r="D27" t="inlineStr">
        <is>
          <t>усл.</t>
        </is>
      </c>
      <c r="E27" t="n">
        <v>1</v>
      </c>
      <c r="F27" t="n">
        <v>1</v>
      </c>
      <c r="G27" s="5" t="n">
        <v>29850</v>
      </c>
      <c r="H27" s="5">
        <f>E27*F27*G27</f>
        <v/>
      </c>
      <c r="I27" s="5" t="n">
        <v>0</v>
      </c>
      <c r="J27" s="5">
        <f>E27*F27*I27</f>
        <v/>
      </c>
      <c r="K27" s="5">
        <f>H27-J27</f>
        <v/>
      </c>
    </row>
    <row r="28">
      <c r="C28" s="2" t="inlineStr">
        <is>
          <t>Налоги (10%)</t>
        </is>
      </c>
      <c r="D28" t="inlineStr">
        <is>
          <t>усл.</t>
        </is>
      </c>
      <c r="E28" t="n">
        <v>1</v>
      </c>
      <c r="F28" t="n">
        <v>1</v>
      </c>
      <c r="G28" s="5" t="n">
        <v>36483</v>
      </c>
      <c r="H28" s="5">
        <f>E28*F28*G28</f>
        <v/>
      </c>
      <c r="I28" s="5" t="n">
        <v>0</v>
      </c>
      <c r="J28" s="5">
        <f>E28*F28*I28</f>
        <v/>
      </c>
      <c r="K28" s="5">
        <f>H28-J28</f>
        <v/>
      </c>
    </row>
    <row r="29">
      <c r="C29" s="2" t="inlineStr">
        <is>
          <t>Всего за тимбилдинг</t>
        </is>
      </c>
      <c r="D29" t="inlineStr">
        <is>
          <t>усл.</t>
        </is>
      </c>
      <c r="E29" t="n">
        <v>1</v>
      </c>
      <c r="F29" t="n">
        <v>1</v>
      </c>
      <c r="G29" s="5" t="n">
        <v>364833</v>
      </c>
      <c r="H29" s="5">
        <f>E29*F29*G29</f>
        <v/>
      </c>
      <c r="I29" s="5" t="n">
        <v>172300</v>
      </c>
      <c r="J29" s="5">
        <f>E29*F29*I29</f>
        <v/>
      </c>
      <c r="K29" s="5">
        <f>H29-J29</f>
        <v/>
      </c>
    </row>
    <row r="31">
      <c r="G31" s="6" t="inlineStr">
        <is>
          <t>ИТОГО К ОПЛАТЕ:</t>
        </is>
      </c>
      <c r="H31" s="7">
        <f>SUM(H10:H29)</f>
        <v/>
      </c>
    </row>
  </sheetData>
  <mergeCells count="6">
    <mergeCell ref="C24:K24"/>
    <mergeCell ref="C16:K16"/>
    <mergeCell ref="C10:K10"/>
    <mergeCell ref="B2:H2"/>
    <mergeCell ref="C26:K26"/>
    <mergeCell ref="C20:K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2026-02-11T11:08:36Z</dcterms:created>
  <dcterms:modified xsi:type="dcterms:W3CDTF">2026-02-11T11:08:36Z</dcterms:modified>
</cp:coreProperties>
</file>