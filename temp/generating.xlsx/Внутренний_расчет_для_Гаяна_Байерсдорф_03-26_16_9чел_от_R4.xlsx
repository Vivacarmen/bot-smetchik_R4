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8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РАСЧЕТ ПРОЕКТА (ВНУТРЕННИЙ): R4 Event Design</t>
        </is>
      </c>
    </row>
    <row r="4">
      <c r="B4" s="2" t="inlineStr">
        <is>
          <t>Заказчик:</t>
        </is>
      </c>
      <c r="C4" t="inlineStr">
        <is>
          <t>Гаяна (Байерсдорф)</t>
        </is>
      </c>
    </row>
    <row r="5">
      <c r="B5" s="2" t="inlineStr">
        <is>
          <t>Локация:</t>
        </is>
      </c>
      <c r="C5" t="inlineStr">
        <is>
          <t>Курорт Завидово, Веранда у горки (20 мин пешком)</t>
        </is>
      </c>
    </row>
    <row r="6">
      <c r="B6" s="2" t="inlineStr">
        <is>
          <t>Дата:</t>
        </is>
      </c>
      <c r="C6" t="inlineStr">
        <is>
          <t>03-26 16</t>
        </is>
      </c>
    </row>
    <row r="7">
      <c r="B7" s="2" t="inlineStr">
        <is>
          <t>Кол-во гостей:</t>
        </is>
      </c>
      <c r="C7" t="inlineStr">
        <is>
          <t>9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C10" s="4" t="inlineStr">
        <is>
          <t>АРЕНДА И ЛОГИСТИКА</t>
        </is>
      </c>
    </row>
    <row r="11">
      <c r="B11" t="n">
        <v>1</v>
      </c>
      <c r="C11" t="inlineStr">
        <is>
          <t>Аренда площадки Веранда у горки (Не сезон)</t>
        </is>
      </c>
      <c r="D11" t="inlineStr">
        <is>
          <t>час</t>
        </is>
      </c>
      <c r="E11" t="n">
        <v>3</v>
      </c>
      <c r="F11" t="n">
        <v>1</v>
      </c>
      <c r="G11" s="5" t="n">
        <v>5000</v>
      </c>
      <c r="H11" s="5">
        <f>E11*F11*G11</f>
        <v/>
      </c>
      <c r="I11" s="5" t="n">
        <v>5000</v>
      </c>
      <c r="J11" s="5">
        <f>E11*F11*I11</f>
        <v/>
      </c>
      <c r="K11" s="5">
        <f>H11-J11</f>
        <v/>
      </c>
    </row>
    <row r="12">
      <c r="B12" t="n">
        <v>2</v>
      </c>
      <c r="C12" t="inlineStr">
        <is>
          <t>Транспортные расходы (Закупка, доставка, М/Д)</t>
        </is>
      </c>
      <c r="D12" t="inlineStr">
        <is>
          <t>усл.</t>
        </is>
      </c>
      <c r="E12" t="n">
        <v>1</v>
      </c>
      <c r="F12" t="n">
        <v>1</v>
      </c>
      <c r="G12" s="5" t="n">
        <v>13000</v>
      </c>
      <c r="H12" s="5">
        <f>E12*F12*G12</f>
        <v/>
      </c>
      <c r="I12" s="5" t="n">
        <v>10000</v>
      </c>
      <c r="J12" s="5">
        <f>E12*F12*I12</f>
        <v/>
      </c>
      <c r="K12" s="5">
        <f>H12-J12</f>
        <v/>
      </c>
    </row>
    <row r="13">
      <c r="B13" t="n">
        <v>3</v>
      </c>
      <c r="C13" t="inlineStr">
        <is>
          <t>Выдача реквизита со склада</t>
        </is>
      </c>
      <c r="D13" t="inlineStr">
        <is>
          <t>усл.</t>
        </is>
      </c>
      <c r="E13" t="n">
        <v>1</v>
      </c>
      <c r="F13" t="n">
        <v>1</v>
      </c>
      <c r="G13" s="5" t="n">
        <v>1300</v>
      </c>
      <c r="H13" s="5">
        <f>E13*F13*G13</f>
        <v/>
      </c>
      <c r="I13" s="5" t="n">
        <v>1000</v>
      </c>
      <c r="J13" s="5">
        <f>E13*F13*I13</f>
        <v/>
      </c>
      <c r="K13" s="5">
        <f>H13-J13</f>
        <v/>
      </c>
    </row>
    <row r="14">
      <c r="C14" s="2" t="inlineStr">
        <is>
          <t>Сумма за раздел Аренда и логистика</t>
        </is>
      </c>
      <c r="D14" t="inlineStr"/>
      <c r="E14" t="n">
        <v>0</v>
      </c>
      <c r="F14" t="n">
        <v>0</v>
      </c>
      <c r="G14" s="5" t="n">
        <v>0</v>
      </c>
      <c r="H14" s="5">
        <f>E14*F14*G14</f>
        <v/>
      </c>
      <c r="I14" s="5" t="n">
        <v>16000</v>
      </c>
      <c r="J14" s="5">
        <f>E14*F14*I14</f>
        <v/>
      </c>
      <c r="K14" s="5">
        <f>H14-J14</f>
        <v/>
      </c>
    </row>
    <row r="15">
      <c r="C15" s="4" t="inlineStr">
        <is>
          <t>ПЕРСОНАЛ ПРОГРАММЫ</t>
        </is>
      </c>
    </row>
    <row r="16">
      <c r="B16" t="n">
        <v>4</v>
      </c>
      <c r="C16" t="inlineStr">
        <is>
          <t>Ведущий мастер-класса (2 часа)</t>
        </is>
      </c>
      <c r="D16" t="inlineStr">
        <is>
          <t>чел.</t>
        </is>
      </c>
      <c r="E16" t="n">
        <v>1</v>
      </c>
      <c r="F16" t="n">
        <v>2</v>
      </c>
      <c r="G16" s="5" t="n">
        <v>10000</v>
      </c>
      <c r="H16" s="5">
        <f>E16*F16*G16</f>
        <v/>
      </c>
      <c r="I16" s="5" t="n">
        <v>15000</v>
      </c>
      <c r="J16" s="5">
        <f>E16*F16*I16</f>
        <v/>
      </c>
      <c r="K16" s="5">
        <f>H16-J16</f>
        <v/>
      </c>
    </row>
    <row r="17">
      <c r="B17" t="n">
        <v>5</v>
      </c>
      <c r="C17" t="inlineStr">
        <is>
          <t>Помощник ведущего (2 часа)</t>
        </is>
      </c>
      <c r="D17" t="inlineStr">
        <is>
          <t>чел.</t>
        </is>
      </c>
      <c r="E17" t="n">
        <v>1</v>
      </c>
      <c r="F17" t="n">
        <v>2</v>
      </c>
      <c r="G17" s="5" t="n">
        <v>4000</v>
      </c>
      <c r="H17" s="5">
        <f>E17*F17*G17</f>
        <v/>
      </c>
      <c r="I17" s="5" t="n">
        <v>6000</v>
      </c>
      <c r="J17" s="5">
        <f>E17*F17*I17</f>
        <v/>
      </c>
      <c r="K17" s="5">
        <f>H17-J17</f>
        <v/>
      </c>
    </row>
    <row r="18">
      <c r="C18" s="2" t="inlineStr">
        <is>
          <t>Сумма за раздел Персонал программы</t>
        </is>
      </c>
      <c r="D18" t="inlineStr"/>
      <c r="E18" t="n">
        <v>0</v>
      </c>
      <c r="F18" t="n">
        <v>0</v>
      </c>
      <c r="G18" s="5" t="n">
        <v>0</v>
      </c>
      <c r="H18" s="5">
        <f>E18*F18*G18</f>
        <v/>
      </c>
      <c r="I18" s="5" t="n">
        <v>21000</v>
      </c>
      <c r="J18" s="5">
        <f>E18*F18*I18</f>
        <v/>
      </c>
      <c r="K18" s="5">
        <f>H18-J18</f>
        <v/>
      </c>
    </row>
    <row r="19">
      <c r="C19" s="4" t="inlineStr">
        <is>
          <t>ИНВЕНТАРЬ И ОБОРУДОВАНИЕ</t>
        </is>
      </c>
    </row>
    <row r="20">
      <c r="B20" t="n">
        <v>6</v>
      </c>
      <c r="C20" t="inlineStr">
        <is>
          <t>Аренда инвентаря для приготовления</t>
        </is>
      </c>
      <c r="D20" t="inlineStr">
        <is>
          <t>компл</t>
        </is>
      </c>
      <c r="E20" t="n">
        <v>3</v>
      </c>
      <c r="F20" t="n">
        <v>1</v>
      </c>
      <c r="G20" s="5" t="n">
        <v>4667</v>
      </c>
      <c r="H20" s="5">
        <f>E20*F20*G20</f>
        <v/>
      </c>
      <c r="I20" s="5" t="n">
        <v>3333</v>
      </c>
      <c r="J20" s="5">
        <f>E20*F20*I20</f>
        <v/>
      </c>
      <c r="K20" s="5">
        <f>H20-J20</f>
        <v/>
      </c>
    </row>
    <row r="21">
      <c r="B21" t="n">
        <v>7</v>
      </c>
      <c r="C21" t="inlineStr">
        <is>
          <t>Колонки и микрофон</t>
        </is>
      </c>
      <c r="D21" t="inlineStr">
        <is>
          <t>компл</t>
        </is>
      </c>
      <c r="E21" t="n">
        <v>1</v>
      </c>
      <c r="F21" t="n">
        <v>1</v>
      </c>
      <c r="G21" s="5" t="n">
        <v>6500</v>
      </c>
      <c r="H21" s="5">
        <f>E21*F21*G21</f>
        <v/>
      </c>
      <c r="I21" s="5" t="n">
        <v>5000</v>
      </c>
      <c r="J21" s="5">
        <f>E21*F21*I21</f>
        <v/>
      </c>
      <c r="K21" s="5">
        <f>H21-J21</f>
        <v/>
      </c>
    </row>
    <row r="22">
      <c r="C22" s="2" t="inlineStr">
        <is>
          <t>Сумма за раздел Инвентарь и оборудование</t>
        </is>
      </c>
      <c r="D22" t="inlineStr"/>
      <c r="E22" t="n">
        <v>0</v>
      </c>
      <c r="F22" t="n">
        <v>0</v>
      </c>
      <c r="G22" s="5" t="n">
        <v>0</v>
      </c>
      <c r="H22" s="5">
        <f>E22*F22*G22</f>
        <v/>
      </c>
      <c r="I22" s="5" t="n">
        <v>14999</v>
      </c>
      <c r="J22" s="5">
        <f>E22*F22*I22</f>
        <v/>
      </c>
      <c r="K22" s="5">
        <f>H22-J22</f>
        <v/>
      </c>
    </row>
    <row r="23">
      <c r="C23" s="4" t="inlineStr">
        <is>
          <t>ПРОДУКТЫ И НАПИТКИ</t>
        </is>
      </c>
    </row>
    <row r="24">
      <c r="B24" t="n">
        <v>8</v>
      </c>
      <c r="C24" t="inlineStr">
        <is>
          <t>Ингредиенты (Фрукты и специи)</t>
        </is>
      </c>
      <c r="D24" t="inlineStr">
        <is>
          <t>компл</t>
        </is>
      </c>
      <c r="E24" t="n">
        <v>3</v>
      </c>
      <c r="F24" t="n">
        <v>1</v>
      </c>
      <c r="G24" s="5" t="n">
        <v>2450</v>
      </c>
      <c r="H24" s="5">
        <f>E24*F24*G24</f>
        <v/>
      </c>
      <c r="I24" s="5" t="n">
        <v>1750</v>
      </c>
      <c r="J24" s="5">
        <f>E24*F24*I24</f>
        <v/>
      </c>
      <c r="K24" s="5">
        <f>H24-J24</f>
        <v/>
      </c>
    </row>
    <row r="25">
      <c r="B25" t="n">
        <v>9</v>
      </c>
      <c r="C25" t="inlineStr">
        <is>
          <t>Расходные материалы (Стаканчики, газ и т.д.)</t>
        </is>
      </c>
      <c r="D25" t="inlineStr">
        <is>
          <t>компл</t>
        </is>
      </c>
      <c r="E25" t="n">
        <v>3</v>
      </c>
      <c r="F25" t="n">
        <v>1</v>
      </c>
      <c r="G25" s="5" t="n">
        <v>1400</v>
      </c>
      <c r="H25" s="5">
        <f>E25*F25*G25</f>
        <v/>
      </c>
      <c r="I25" s="5" t="n">
        <v>1000</v>
      </c>
      <c r="J25" s="5">
        <f>E25*F25*I25</f>
        <v/>
      </c>
      <c r="K25" s="5">
        <f>H25-J25</f>
        <v/>
      </c>
    </row>
    <row r="26">
      <c r="B26" t="n">
        <v>10</v>
      </c>
      <c r="C26" t="inlineStr">
        <is>
          <t>Вино для глинтвейна</t>
        </is>
      </c>
      <c r="D26" t="inlineStr">
        <is>
          <t>бут.</t>
        </is>
      </c>
      <c r="E26" t="n">
        <v>6</v>
      </c>
      <c r="F26" t="n">
        <v>1</v>
      </c>
      <c r="G26" s="5" t="n">
        <v>2350</v>
      </c>
      <c r="H26" s="5">
        <f>E26*F26*G26</f>
        <v/>
      </c>
      <c r="I26" s="5" t="n">
        <v>2000</v>
      </c>
      <c r="J26" s="5">
        <f>E26*F26*I26</f>
        <v/>
      </c>
      <c r="K26" s="5">
        <f>H26-J26</f>
        <v/>
      </c>
    </row>
    <row r="27">
      <c r="B27" t="n">
        <v>11</v>
      </c>
      <c r="C27" t="inlineStr">
        <is>
          <t>Чай Габа и услуга "Варка чая"</t>
        </is>
      </c>
      <c r="D27" t="inlineStr">
        <is>
          <t>усл.</t>
        </is>
      </c>
      <c r="E27" t="n">
        <v>1</v>
      </c>
      <c r="F27" t="n">
        <v>1</v>
      </c>
      <c r="G27" s="5" t="n">
        <v>5200</v>
      </c>
      <c r="H27" s="5">
        <f>E27*F27*G27</f>
        <v/>
      </c>
      <c r="I27" s="5" t="n">
        <v>4000</v>
      </c>
      <c r="J27" s="5">
        <f>E27*F27*I27</f>
        <v/>
      </c>
      <c r="K27" s="5">
        <f>H27-J27</f>
        <v/>
      </c>
    </row>
    <row r="28">
      <c r="C28" s="2" t="inlineStr">
        <is>
          <t>Сумма за раздел Продукты и напитки</t>
        </is>
      </c>
      <c r="D28" t="inlineStr"/>
      <c r="E28" t="n">
        <v>0</v>
      </c>
      <c r="F28" t="n">
        <v>0</v>
      </c>
      <c r="G28" s="5" t="n">
        <v>0</v>
      </c>
      <c r="H28" s="5">
        <f>E28*F28*G28</f>
        <v/>
      </c>
      <c r="I28" s="5" t="n">
        <v>17250</v>
      </c>
      <c r="J28" s="5">
        <f>E28*F28*I28</f>
        <v/>
      </c>
      <c r="K28" s="5">
        <f>H28-J28</f>
        <v/>
      </c>
    </row>
    <row r="29">
      <c r="C29" s="4" t="inlineStr">
        <is>
          <t>УПРАВЛЕНИЕ И КООРДИНАЦИЯ</t>
        </is>
      </c>
    </row>
    <row r="30">
      <c r="B30" t="n">
        <v>12</v>
      </c>
      <c r="C30" t="inlineStr">
        <is>
          <t>Руководитель проекта</t>
        </is>
      </c>
      <c r="D30" t="inlineStr">
        <is>
          <t>усл.</t>
        </is>
      </c>
      <c r="E30" t="n">
        <v>1</v>
      </c>
      <c r="F30" t="n">
        <v>1</v>
      </c>
      <c r="G30" s="5" t="n">
        <v>30000</v>
      </c>
      <c r="H30" s="5">
        <f>E30*F30*G30</f>
        <v/>
      </c>
      <c r="I30" s="5" t="n">
        <v>30000</v>
      </c>
      <c r="J30" s="5">
        <f>E30*F30*I30</f>
        <v/>
      </c>
      <c r="K30" s="5">
        <f>H30-J30</f>
        <v/>
      </c>
    </row>
    <row r="31">
      <c r="B31" t="n">
        <v>13</v>
      </c>
      <c r="C31" t="inlineStr">
        <is>
          <t>Координатор на площадке</t>
        </is>
      </c>
      <c r="D31" t="inlineStr">
        <is>
          <t>чел.</t>
        </is>
      </c>
      <c r="E31" t="n">
        <v>1</v>
      </c>
      <c r="F31" t="n">
        <v>1</v>
      </c>
      <c r="G31" s="5" t="n">
        <v>10000</v>
      </c>
      <c r="H31" s="5">
        <f>E31*F31*G31</f>
        <v/>
      </c>
      <c r="I31" s="5" t="n">
        <v>5000</v>
      </c>
      <c r="J31" s="5">
        <f>E31*F31*I31</f>
        <v/>
      </c>
      <c r="K31" s="5">
        <f>H31-J31</f>
        <v/>
      </c>
    </row>
    <row r="32">
      <c r="B32" t="n">
        <v>14</v>
      </c>
      <c r="C32" t="inlineStr">
        <is>
          <t>Питание персонала (Себестоимость)</t>
        </is>
      </c>
      <c r="D32" t="inlineStr">
        <is>
          <t>усл.</t>
        </is>
      </c>
      <c r="E32" t="n">
        <v>1</v>
      </c>
      <c r="F32" t="n">
        <v>1</v>
      </c>
      <c r="G32" s="5" t="n">
        <v>0</v>
      </c>
      <c r="H32" s="5">
        <f>E32*F32*G32</f>
        <v/>
      </c>
      <c r="I32" s="5" t="n">
        <v>3000</v>
      </c>
      <c r="J32" s="5">
        <f>E32*F32*I32</f>
        <v/>
      </c>
      <c r="K32" s="5">
        <f>H32-J32</f>
        <v/>
      </c>
    </row>
    <row r="33">
      <c r="C33" s="2" t="inlineStr">
        <is>
          <t>Сумма за раздел Управление и координация</t>
        </is>
      </c>
      <c r="D33" t="inlineStr"/>
      <c r="E33" t="n">
        <v>0</v>
      </c>
      <c r="F33" t="n">
        <v>0</v>
      </c>
      <c r="G33" s="5" t="n">
        <v>0</v>
      </c>
      <c r="H33" s="5">
        <f>E33*F33*G33</f>
        <v/>
      </c>
      <c r="I33" s="5" t="n">
        <v>38000</v>
      </c>
      <c r="J33" s="5">
        <f>E33*F33*I33</f>
        <v/>
      </c>
      <c r="K33" s="5">
        <f>H33-J33</f>
        <v/>
      </c>
    </row>
    <row r="34">
      <c r="C34" s="4" t="inlineStr">
        <is>
          <t>ИТОГИ</t>
        </is>
      </c>
    </row>
    <row r="35">
      <c r="C35" s="2" t="inlineStr">
        <is>
          <t>СУММА УСЛУГ</t>
        </is>
      </c>
      <c r="D35" t="inlineStr">
        <is>
          <t>усл.</t>
        </is>
      </c>
      <c r="E35" t="n">
        <v>1</v>
      </c>
      <c r="F35" t="n">
        <v>1</v>
      </c>
      <c r="G35" s="5" t="n">
        <v>148650</v>
      </c>
      <c r="H35" s="5">
        <f>E35*F35*G35</f>
        <v/>
      </c>
      <c r="I35" s="5" t="n">
        <v>127249</v>
      </c>
      <c r="J35" s="5">
        <f>E35*F35*I35</f>
        <v/>
      </c>
      <c r="K35" s="5">
        <f>H35-J35</f>
        <v/>
      </c>
    </row>
    <row r="36">
      <c r="B36" t="n">
        <v>15</v>
      </c>
      <c r="C36" t="inlineStr">
        <is>
          <t>Накладные расходы и расходы на агентство 10%</t>
        </is>
      </c>
      <c r="D36" t="inlineStr">
        <is>
          <t>усл.</t>
        </is>
      </c>
      <c r="E36" t="n">
        <v>1</v>
      </c>
      <c r="F36" t="n">
        <v>1</v>
      </c>
      <c r="G36" s="5" t="n">
        <v>14865</v>
      </c>
      <c r="H36" s="5">
        <f>E36*F36*G36</f>
        <v/>
      </c>
      <c r="I36" s="5" t="n">
        <v>0</v>
      </c>
      <c r="J36" s="5">
        <f>E36*F36*I36</f>
        <v/>
      </c>
      <c r="K36" s="5">
        <f>H36-J36</f>
        <v/>
      </c>
    </row>
    <row r="37">
      <c r="C37" s="2" t="inlineStr">
        <is>
          <t>Налоги</t>
        </is>
      </c>
      <c r="D37" t="inlineStr">
        <is>
          <t>усл.</t>
        </is>
      </c>
      <c r="E37" t="n">
        <v>1</v>
      </c>
      <c r="F37" t="n">
        <v>1</v>
      </c>
      <c r="G37" s="5" t="n">
        <v>18168.33</v>
      </c>
      <c r="H37" s="5">
        <f>E37*F37*G37</f>
        <v/>
      </c>
      <c r="I37" s="5" t="n">
        <v>0</v>
      </c>
      <c r="J37" s="5">
        <f>E37*F37*I37</f>
        <v/>
      </c>
      <c r="K37" s="5">
        <f>H37-J37</f>
        <v/>
      </c>
    </row>
    <row r="38">
      <c r="C38" s="2" t="inlineStr">
        <is>
          <t>Всего за мероприятие</t>
        </is>
      </c>
      <c r="D38" t="inlineStr">
        <is>
          <t>усл.</t>
        </is>
      </c>
      <c r="E38" t="n">
        <v>1</v>
      </c>
      <c r="F38" t="n">
        <v>1</v>
      </c>
      <c r="G38" s="5" t="n">
        <v>181683.33</v>
      </c>
      <c r="H38" s="5">
        <f>E38*F38*G38</f>
        <v/>
      </c>
      <c r="I38" s="5" t="n">
        <v>0</v>
      </c>
      <c r="J38" s="5">
        <f>E38*F38*I38</f>
        <v/>
      </c>
      <c r="K38" s="5">
        <f>H38-J38</f>
        <v/>
      </c>
    </row>
  </sheetData>
  <mergeCells count="7">
    <mergeCell ref="C15:K15"/>
    <mergeCell ref="C10:K10"/>
    <mergeCell ref="C19:K19"/>
    <mergeCell ref="B2:H2"/>
    <mergeCell ref="C23:K23"/>
    <mergeCell ref="C34:K34"/>
    <mergeCell ref="C29: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2026-02-17T19:16:55Z</dcterms:created>
  <dcterms:modified xsi:type="dcterms:W3CDTF">2026-02-17T19:16:55Z</dcterms:modified>
</cp:coreProperties>
</file>