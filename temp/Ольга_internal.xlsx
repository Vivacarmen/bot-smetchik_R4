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_-&quot;₽&quot;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0000"/>
      <sz val="12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1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7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2">
      <c r="C2" s="1" t="inlineStr">
        <is>
          <t>Компания:</t>
        </is>
      </c>
      <c r="D2" s="2" t="inlineStr">
        <is>
          <t>R4</t>
        </is>
      </c>
    </row>
    <row r="3">
      <c r="C3" s="1" t="inlineStr">
        <is>
          <t>Заказчик:</t>
        </is>
      </c>
      <c r="D3" s="2" t="inlineStr">
        <is>
          <t>Ольга</t>
        </is>
      </c>
    </row>
    <row r="4">
      <c r="C4" s="1" t="inlineStr">
        <is>
          <t>Дата:</t>
        </is>
      </c>
      <c r="D4" s="2" t="inlineStr">
        <is>
          <t>15-18 апр 26</t>
        </is>
      </c>
    </row>
    <row r="5">
      <c r="C5" s="1" t="inlineStr">
        <is>
          <t>Участников:</t>
        </is>
      </c>
      <c r="D5" s="2" t="inlineStr">
        <is>
          <t>50</t>
        </is>
      </c>
    </row>
    <row r="8">
      <c r="B8" s="3" t="inlineStr">
        <is>
          <t>№</t>
        </is>
      </c>
      <c r="C8" s="3" t="inlineStr">
        <is>
          <t>Наименование</t>
        </is>
      </c>
      <c r="D8" s="3" t="inlineStr">
        <is>
          <t>Ед.</t>
        </is>
      </c>
      <c r="E8" s="3" t="inlineStr">
        <is>
          <t>Кол-во</t>
        </is>
      </c>
      <c r="F8" s="3" t="inlineStr">
        <is>
          <t>Услуг</t>
        </is>
      </c>
      <c r="G8" s="3" t="inlineStr">
        <is>
          <t>Цена</t>
        </is>
      </c>
      <c r="H8" s="3" t="inlineStr">
        <is>
          <t>Сумма</t>
        </is>
      </c>
      <c r="I8" s="3" t="inlineStr">
        <is>
          <t>Себест.</t>
        </is>
      </c>
      <c r="J8" s="3" t="inlineStr">
        <is>
          <t>Маржа</t>
        </is>
      </c>
    </row>
    <row r="9">
      <c r="B9" s="4" t="n">
        <v>1</v>
      </c>
      <c r="C9" s="4" t="inlineStr">
        <is>
          <t>Ведущий тимбилдинга</t>
        </is>
      </c>
      <c r="D9" s="4" t="inlineStr">
        <is>
          <t>чел.</t>
        </is>
      </c>
      <c r="E9" s="4" t="n">
        <v>1</v>
      </c>
      <c r="F9" s="4" t="n">
        <v>1</v>
      </c>
      <c r="G9" s="5" t="n">
        <v>30000</v>
      </c>
      <c r="H9" s="5">
        <f>E9*F9*G9</f>
        <v/>
      </c>
      <c r="I9" s="5" t="n">
        <v>20000</v>
      </c>
      <c r="J9" s="5">
        <f>H9-(E9*F9*I9)</f>
        <v/>
      </c>
    </row>
    <row r="10">
      <c r="B10" s="4" t="n">
        <v>2</v>
      </c>
      <c r="C10" s="4" t="inlineStr">
        <is>
          <t>Реквизит программы "Корпоративные приключения"</t>
        </is>
      </c>
      <c r="D10" s="4" t="inlineStr">
        <is>
          <t>усл.</t>
        </is>
      </c>
      <c r="E10" s="4" t="n">
        <v>1</v>
      </c>
      <c r="F10" s="4" t="n">
        <v>1</v>
      </c>
      <c r="G10" s="5" t="n">
        <v>50000</v>
      </c>
      <c r="H10" s="5">
        <f>E10*F10*G10</f>
        <v/>
      </c>
      <c r="I10" s="5" t="n">
        <v>1000</v>
      </c>
      <c r="J10" s="5">
        <f>H10-(E10*F10*I10)</f>
        <v/>
      </c>
    </row>
    <row r="11">
      <c r="B11" s="4" t="n">
        <v>3</v>
      </c>
      <c r="C11" s="4" t="inlineStr">
        <is>
          <t>Тимлидеры (инструкторы)</t>
        </is>
      </c>
      <c r="D11" s="4" t="inlineStr">
        <is>
          <t>чел.</t>
        </is>
      </c>
      <c r="E11" s="4" t="n">
        <v>5</v>
      </c>
      <c r="F11" s="4" t="n">
        <v>1</v>
      </c>
      <c r="G11" s="5" t="n">
        <v>12000</v>
      </c>
      <c r="H11" s="5">
        <f>E11*F11*G11</f>
        <v/>
      </c>
      <c r="I11" s="5" t="n">
        <v>7500</v>
      </c>
      <c r="J11" s="5">
        <f>H11-(E11*F11*I11)</f>
        <v/>
      </c>
    </row>
    <row r="12">
      <c r="B12" s="4" t="n">
        <v>4</v>
      </c>
      <c r="C12" s="4" t="inlineStr">
        <is>
          <t>Монтаж и демонтаж оборудования</t>
        </is>
      </c>
      <c r="D12" s="4" t="inlineStr">
        <is>
          <t>усл.</t>
        </is>
      </c>
      <c r="E12" s="4" t="n">
        <v>1</v>
      </c>
      <c r="F12" s="4" t="n">
        <v>1</v>
      </c>
      <c r="G12" s="5" t="n">
        <v>15000</v>
      </c>
      <c r="H12" s="5">
        <f>E12*F12*G12</f>
        <v/>
      </c>
      <c r="I12" s="5" t="n">
        <v>10000</v>
      </c>
      <c r="J12" s="5">
        <f>H12-(E12*F12*I12)</f>
        <v/>
      </c>
    </row>
    <row r="13">
      <c r="B13" s="4" t="n">
        <v>5</v>
      </c>
      <c r="C13" s="4" t="inlineStr">
        <is>
          <t>Колонка и микрофон (аренда)</t>
        </is>
      </c>
      <c r="D13" s="4" t="inlineStr">
        <is>
          <t>компл.</t>
        </is>
      </c>
      <c r="E13" s="4" t="n">
        <v>1</v>
      </c>
      <c r="F13" s="4" t="n">
        <v>1</v>
      </c>
      <c r="G13" s="5" t="n">
        <v>10000</v>
      </c>
      <c r="H13" s="5">
        <f>E13*F13*G13</f>
        <v/>
      </c>
      <c r="I13" s="5" t="n">
        <v>0</v>
      </c>
      <c r="J13" s="5">
        <f>H13-(E13*F13*I13)</f>
        <v/>
      </c>
    </row>
    <row r="14">
      <c r="B14" s="4" t="n">
        <v>6</v>
      </c>
      <c r="C14" s="4" t="inlineStr">
        <is>
          <t>Транспортные расходы на доставку оборудования</t>
        </is>
      </c>
      <c r="D14" s="4" t="inlineStr">
        <is>
          <t>усл.</t>
        </is>
      </c>
      <c r="E14" s="4" t="n">
        <v>1</v>
      </c>
      <c r="F14" s="4" t="n">
        <v>1</v>
      </c>
      <c r="G14" s="5" t="n">
        <v>20000</v>
      </c>
      <c r="H14" s="5">
        <f>E14*F14*G14</f>
        <v/>
      </c>
      <c r="I14" s="5" t="n">
        <v>0</v>
      </c>
      <c r="J14" s="5">
        <f>H14-(E14*F14*I14)</f>
        <v/>
      </c>
    </row>
    <row r="15">
      <c r="B15" s="4" t="n">
        <v>7</v>
      </c>
      <c r="C15" s="4" t="inlineStr">
        <is>
          <t>Руководитель проекта (РП)</t>
        </is>
      </c>
      <c r="D15" s="4" t="inlineStr">
        <is>
          <t>чел.</t>
        </is>
      </c>
      <c r="E15" s="4" t="n">
        <v>1</v>
      </c>
      <c r="F15" s="4" t="n">
        <v>1</v>
      </c>
      <c r="G15" s="5" t="n">
        <v>30000</v>
      </c>
      <c r="H15" s="5">
        <f>E15*F15*G15</f>
        <v/>
      </c>
      <c r="I15" s="5" t="n">
        <v>30000</v>
      </c>
      <c r="J15" s="5">
        <f>H15-(E15*F15*I15)</f>
        <v/>
      </c>
    </row>
    <row r="16">
      <c r="B16" s="4" t="n">
        <v>8</v>
      </c>
      <c r="C16" s="4" t="inlineStr">
        <is>
          <t>Координатор на площадке</t>
        </is>
      </c>
      <c r="D16" s="4" t="inlineStr">
        <is>
          <t>чел.</t>
        </is>
      </c>
      <c r="E16" s="4" t="n">
        <v>1</v>
      </c>
      <c r="F16" s="4" t="n">
        <v>1</v>
      </c>
      <c r="G16" s="5" t="n">
        <v>10000</v>
      </c>
      <c r="H16" s="5">
        <f>E16*F16*G16</f>
        <v/>
      </c>
      <c r="I16" s="5" t="n">
        <v>5000</v>
      </c>
      <c r="J16" s="5">
        <f>H16-(E16*F16*I16)</f>
        <v/>
      </c>
    </row>
    <row r="17">
      <c r="B17" s="4" t="n">
        <v>9</v>
      </c>
      <c r="C17" s="4" t="inlineStr">
        <is>
          <t>Затраты на питание персонала</t>
        </is>
      </c>
      <c r="D17" s="4" t="inlineStr">
        <is>
          <t>усл.</t>
        </is>
      </c>
      <c r="E17" s="4" t="n">
        <v>1</v>
      </c>
      <c r="F17" s="4" t="n">
        <v>1</v>
      </c>
      <c r="G17" s="5" t="n">
        <v>0</v>
      </c>
      <c r="H17" s="5">
        <f>E17*F17*G17</f>
        <v/>
      </c>
      <c r="I17" s="5" t="n">
        <v>3000</v>
      </c>
      <c r="J17" s="5">
        <f>H17-(E17*F17*I17)</f>
        <v/>
      </c>
    </row>
    <row r="18">
      <c r="B18" s="4" t="n">
        <v>10</v>
      </c>
      <c r="C18" s="4" t="inlineStr">
        <is>
          <t>Затраты на приз для победителей</t>
        </is>
      </c>
      <c r="D18" s="4" t="inlineStr">
        <is>
          <t>усл.</t>
        </is>
      </c>
      <c r="E18" s="4" t="n">
        <v>1</v>
      </c>
      <c r="F18" s="4" t="n">
        <v>1</v>
      </c>
      <c r="G18" s="5" t="n">
        <v>0</v>
      </c>
      <c r="H18" s="5">
        <f>E18*F18*G18</f>
        <v/>
      </c>
      <c r="I18" s="5" t="n">
        <v>1000</v>
      </c>
      <c r="J18" s="5">
        <f>H18-(E18*F18*I18)</f>
        <v/>
      </c>
    </row>
    <row r="19">
      <c r="B19" s="4" t="n">
        <v>11</v>
      </c>
      <c r="C19" s="4" t="inlineStr">
        <is>
          <t>Распечатка карты и дополнительных материалов</t>
        </is>
      </c>
      <c r="D19" s="4" t="inlineStr">
        <is>
          <t>усл.</t>
        </is>
      </c>
      <c r="E19" s="4" t="n">
        <v>1</v>
      </c>
      <c r="F19" s="4" t="n">
        <v>1</v>
      </c>
      <c r="G19" s="5" t="n">
        <v>0</v>
      </c>
      <c r="H19" s="5">
        <f>E19*F19*G19</f>
        <v/>
      </c>
      <c r="I19" s="5" t="n">
        <v>300</v>
      </c>
      <c r="J19" s="5">
        <f>H19-(E19*F19*I19)</f>
        <v/>
      </c>
    </row>
    <row r="20">
      <c r="B20" s="4" t="n">
        <v>12</v>
      </c>
      <c r="C20" s="4" t="inlineStr">
        <is>
          <t>Аренда территории "Лесная поляна" (фиксированная часть)</t>
        </is>
      </c>
      <c r="D20" s="4" t="inlineStr">
        <is>
          <t>усл.</t>
        </is>
      </c>
      <c r="E20" s="4" t="n">
        <v>1</v>
      </c>
      <c r="F20" s="4" t="n">
        <v>1</v>
      </c>
      <c r="G20" s="5" t="n">
        <v>30000</v>
      </c>
      <c r="H20" s="5">
        <f>E20*F20*G20</f>
        <v/>
      </c>
      <c r="I20" s="5" t="n">
        <v>30000</v>
      </c>
      <c r="J20" s="5">
        <f>H20-(E20*F20*I20)</f>
        <v/>
      </c>
    </row>
    <row r="21">
      <c r="B21" s="4" t="n">
        <v>13</v>
      </c>
      <c r="C21" s="4" t="inlineStr">
        <is>
          <t>Аренда территории "Лесная поляна" (за человека)</t>
        </is>
      </c>
      <c r="D21" s="4" t="inlineStr">
        <is>
          <t>чел.</t>
        </is>
      </c>
      <c r="E21" s="4" t="n">
        <v>50</v>
      </c>
      <c r="F21" s="4" t="n">
        <v>1</v>
      </c>
      <c r="G21" s="5" t="n">
        <v>300</v>
      </c>
      <c r="H21" s="5">
        <f>E21*F21*G21</f>
        <v/>
      </c>
      <c r="I21" s="5" t="n">
        <v>300</v>
      </c>
      <c r="J21" s="5">
        <f>H21-(E21*F21*I21)</f>
        <v/>
      </c>
    </row>
    <row r="23">
      <c r="G23" s="1" t="inlineStr">
        <is>
          <t>Итого услуги:</t>
        </is>
      </c>
      <c r="H23" s="6">
        <f>SUM(H9:H21)</f>
        <v/>
      </c>
    </row>
    <row r="24">
      <c r="G24" t="inlineStr">
        <is>
          <t>Агентское (10%):</t>
        </is>
      </c>
      <c r="H24" s="7">
        <f>H23*0.1</f>
        <v/>
      </c>
    </row>
    <row r="25">
      <c r="G25" t="inlineStr">
        <is>
          <t>Налоги (10%):</t>
        </is>
      </c>
      <c r="H25" s="7">
        <f>H23*0.1</f>
        <v/>
      </c>
    </row>
    <row r="27">
      <c r="G27" s="8" t="inlineStr">
        <is>
          <t>ВСЕГО К ОПЛАТЕ:</t>
        </is>
      </c>
      <c r="H27" s="9">
        <f>H23+H24+H25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2026-02-08T12:56:39Z</dcterms:created>
  <dcterms:modified xsi:type="dcterms:W3CDTF">2026-02-08T12:56:39Z</dcterms:modified>
</cp:coreProperties>
</file>