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B2" s="1" t="inlineStr">
        <is>
          <t>КОММЕРЧЕСКОЕ ПРЕДЛОЖЕНИЕ: R4</t>
        </is>
      </c>
    </row>
    <row r="4">
      <c r="B4" s="2" t="inlineStr">
        <is>
          <t>Заказчик:</t>
        </is>
      </c>
      <c r="C4" t="inlineStr">
        <is>
          <t>Vfhbyf^ 57868536 (tyre)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>
        <f>= ПРОГРАММА И ПЕРСОНАЛ ==</f>
        <v/>
      </c>
      <c r="D10" t="inlineStr">
        <is>
          <t>усл.</t>
        </is>
      </c>
      <c r="E10" t="n">
        <v>1</v>
      </c>
      <c r="F10" t="n">
        <v>1</v>
      </c>
      <c r="G10" s="4" t="n">
        <v>0</v>
      </c>
      <c r="H10" s="4" t="n">
        <v>0</v>
      </c>
    </row>
    <row r="11">
      <c r="B11" t="n">
        <v>2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4" t="n">
        <v>30000</v>
      </c>
      <c r="H11" s="4" t="n">
        <v>30000</v>
      </c>
    </row>
    <row r="12">
      <c r="B12" t="n">
        <v>3</v>
      </c>
      <c r="C12" t="inlineStr">
        <is>
          <t>Тимлидер (полевой персонал)</t>
        </is>
      </c>
      <c r="D12" t="inlineStr">
        <is>
          <t>чел.</t>
        </is>
      </c>
      <c r="E12" t="n">
        <v>3</v>
      </c>
      <c r="F12" t="n">
        <v>1</v>
      </c>
      <c r="G12" s="4" t="n">
        <v>36000</v>
      </c>
      <c r="H12" s="4" t="n">
        <v>108000</v>
      </c>
    </row>
    <row r="13">
      <c r="B13" t="n">
        <v>4</v>
      </c>
      <c r="C13" t="inlineStr">
        <is>
          <t>Руководитель проекта (РП)</t>
        </is>
      </c>
      <c r="D13" t="inlineStr">
        <is>
          <t>чел.</t>
        </is>
      </c>
      <c r="E13" t="n">
        <v>1</v>
      </c>
      <c r="F13" t="n">
        <v>1</v>
      </c>
      <c r="G13" s="4" t="n">
        <v>30000</v>
      </c>
      <c r="H13" s="4" t="n">
        <v>30000</v>
      </c>
    </row>
    <row r="14">
      <c r="B14" t="n">
        <v>5</v>
      </c>
      <c r="C14" t="inlineStr">
        <is>
          <t>Координатор на площадке</t>
        </is>
      </c>
      <c r="D14" t="inlineStr">
        <is>
          <t>чел.</t>
        </is>
      </c>
      <c r="E14" t="n">
        <v>1</v>
      </c>
      <c r="F14" t="n">
        <v>1</v>
      </c>
      <c r="G14" s="4" t="n">
        <v>10000</v>
      </c>
      <c r="H14" s="4" t="n">
        <v>10000</v>
      </c>
    </row>
    <row r="15">
      <c r="B15" t="n">
        <v>6</v>
      </c>
      <c r="C15" t="inlineStr">
        <is>
          <t>Питание персонала (себестоимость)</t>
        </is>
      </c>
      <c r="D15" t="inlineStr">
        <is>
          <t>усл.</t>
        </is>
      </c>
      <c r="E15" t="n">
        <v>1</v>
      </c>
      <c r="F15" t="n">
        <v>1</v>
      </c>
      <c r="G15" s="4" t="n">
        <v>0</v>
      </c>
      <c r="H15" s="4" t="n">
        <v>0</v>
      </c>
    </row>
    <row r="16">
      <c r="B16" t="n">
        <v>7</v>
      </c>
      <c r="C16">
        <f>= РЕКВИЗИТ И ОБЕСПЕЧЕНИЕ ==</f>
        <v/>
      </c>
      <c r="D16" t="inlineStr">
        <is>
          <t>усл.</t>
        </is>
      </c>
      <c r="E16" t="n">
        <v>1</v>
      </c>
      <c r="F16" t="n">
        <v>1</v>
      </c>
      <c r="G16" s="4" t="n">
        <v>0</v>
      </c>
      <c r="H16" s="4" t="n">
        <v>0</v>
      </c>
    </row>
    <row r="17">
      <c r="B17" t="n">
        <v>8</v>
      </c>
      <c r="C17" t="inlineStr">
        <is>
          <t>Реквизит для тимбилдинга</t>
        </is>
      </c>
      <c r="D17" t="inlineStr">
        <is>
          <t>компл.</t>
        </is>
      </c>
      <c r="E17" t="n">
        <v>1</v>
      </c>
      <c r="F17" t="n">
        <v>1</v>
      </c>
      <c r="G17" s="4" t="n">
        <v>50000</v>
      </c>
      <c r="H17" s="4" t="n">
        <v>50000</v>
      </c>
    </row>
    <row r="18">
      <c r="B18" t="n">
        <v>9</v>
      </c>
      <c r="C18" t="inlineStr">
        <is>
          <t>Распечатка карт и инструкций</t>
        </is>
      </c>
      <c r="D18" t="inlineStr">
        <is>
          <t>усл.</t>
        </is>
      </c>
      <c r="E18" t="n">
        <v>1</v>
      </c>
      <c r="F18" t="n">
        <v>1</v>
      </c>
      <c r="G18" s="4" t="n">
        <v>0</v>
      </c>
      <c r="H18" s="4" t="n">
        <v>0</v>
      </c>
    </row>
    <row r="19">
      <c r="B19" t="n">
        <v>10</v>
      </c>
      <c r="C19" t="inlineStr">
        <is>
          <t>Приз для команды-победителя</t>
        </is>
      </c>
      <c r="D19" t="inlineStr">
        <is>
          <t>усл.</t>
        </is>
      </c>
      <c r="E19" t="n">
        <v>1</v>
      </c>
      <c r="F19" t="n">
        <v>1</v>
      </c>
      <c r="G19" s="4" t="n">
        <v>0</v>
      </c>
      <c r="H19" s="4" t="n">
        <v>0</v>
      </c>
    </row>
    <row r="20">
      <c r="B20" t="n">
        <v>11</v>
      </c>
      <c r="C20">
        <f>= ТЕХНИКА И ЛОГИСТИКА ==</f>
        <v/>
      </c>
      <c r="D20" t="inlineStr">
        <is>
          <t>усл.</t>
        </is>
      </c>
      <c r="E20" t="n">
        <v>1</v>
      </c>
      <c r="F20" t="n">
        <v>1</v>
      </c>
      <c r="G20" s="4" t="n">
        <v>0</v>
      </c>
      <c r="H20" s="4" t="n">
        <v>0</v>
      </c>
    </row>
    <row r="21">
      <c r="B21" t="n">
        <v>12</v>
      </c>
      <c r="C21" t="inlineStr">
        <is>
          <t>Колонка и микрофон (Звук)</t>
        </is>
      </c>
      <c r="D21" t="inlineStr">
        <is>
          <t>компл.</t>
        </is>
      </c>
      <c r="E21" t="n">
        <v>1</v>
      </c>
      <c r="F21" t="n">
        <v>1</v>
      </c>
      <c r="G21" s="4" t="n">
        <v>10000</v>
      </c>
      <c r="H21" s="4" t="n">
        <v>10000</v>
      </c>
    </row>
    <row r="22">
      <c r="B22" t="n">
        <v>13</v>
      </c>
      <c r="C22" t="inlineStr">
        <is>
          <t>Монтаж / Демонтаж оборудования</t>
        </is>
      </c>
      <c r="D22" t="inlineStr">
        <is>
          <t>усл.</t>
        </is>
      </c>
      <c r="E22" t="n">
        <v>1</v>
      </c>
      <c r="F22" t="n">
        <v>1</v>
      </c>
      <c r="G22" s="4" t="n">
        <v>15000</v>
      </c>
      <c r="H22" s="4" t="n">
        <v>15000</v>
      </c>
    </row>
    <row r="23">
      <c r="B23" t="n">
        <v>14</v>
      </c>
      <c r="C23" t="inlineStr">
        <is>
          <t>Транспортные расходы (доставка)</t>
        </is>
      </c>
      <c r="D23" t="inlineStr">
        <is>
          <t>усл.</t>
        </is>
      </c>
      <c r="E23" t="n">
        <v>1</v>
      </c>
      <c r="F23" t="n">
        <v>1</v>
      </c>
      <c r="G23" s="4" t="n">
        <v>20000</v>
      </c>
      <c r="H23" s="4" t="n">
        <v>20000</v>
      </c>
    </row>
    <row r="24">
      <c r="B24" t="n">
        <v>15</v>
      </c>
      <c r="C24">
        <f>= АРЕНДА ТЕРРИТОРИИ ==</f>
        <v/>
      </c>
      <c r="D24" t="inlineStr">
        <is>
          <t>усл.</t>
        </is>
      </c>
      <c r="E24" t="n">
        <v>1</v>
      </c>
      <c r="F24" t="n">
        <v>1</v>
      </c>
      <c r="G24" s="4" t="n">
        <v>0</v>
      </c>
      <c r="H24" s="4" t="n">
        <v>0</v>
      </c>
    </row>
    <row r="25">
      <c r="B25" t="n">
        <v>16</v>
      </c>
      <c r="C25" t="inlineStr">
        <is>
          <t>Аренда Лесной поляны</t>
        </is>
      </c>
      <c r="D25" t="inlineStr">
        <is>
          <t>усл.</t>
        </is>
      </c>
      <c r="E25" t="n">
        <v>1</v>
      </c>
      <c r="F25" t="n">
        <v>1</v>
      </c>
      <c r="G25" s="4" t="n">
        <v>30000</v>
      </c>
      <c r="H25" s="4" t="n">
        <v>30000</v>
      </c>
    </row>
    <row r="26">
      <c r="B26" t="n">
        <v>17</v>
      </c>
      <c r="C26" t="inlineStr">
        <is>
          <t>Сбор за человека (25  300 руб.)</t>
        </is>
      </c>
      <c r="D26" t="inlineStr">
        <is>
          <t>чел.</t>
        </is>
      </c>
      <c r="E26" t="n">
        <v>25</v>
      </c>
      <c r="F26" t="n">
        <v>1</v>
      </c>
      <c r="G26" s="4" t="n">
        <v>7500</v>
      </c>
      <c r="H26" s="4" t="n">
        <v>187500</v>
      </c>
    </row>
    <row r="27">
      <c r="C27" s="2" t="inlineStr">
        <is>
          <t>СУММА ПОЗИЦИЙ (А)</t>
        </is>
      </c>
      <c r="D27" t="inlineStr">
        <is>
          <t>238 500</t>
        </is>
      </c>
      <c r="E27" t="n">
        <v>130300</v>
      </c>
      <c r="F27" t="n">
        <v>1</v>
      </c>
      <c r="G27" s="4" t="n">
        <v>0</v>
      </c>
      <c r="H27" s="4" t="n">
        <v>0</v>
      </c>
    </row>
    <row r="28">
      <c r="B28" t="n">
        <v>18</v>
      </c>
      <c r="C28">
        <f>= ИТОГИ ==</f>
        <v/>
      </c>
      <c r="D28" t="inlineStr">
        <is>
          <t>усл.</t>
        </is>
      </c>
      <c r="E28" t="n">
        <v>1</v>
      </c>
      <c r="F28" t="n">
        <v>1</v>
      </c>
      <c r="G28" s="4" t="n">
        <v>0</v>
      </c>
      <c r="H28" s="4" t="n">
        <v>0</v>
      </c>
    </row>
    <row r="29">
      <c r="B29" t="n">
        <v>19</v>
      </c>
      <c r="C29" t="inlineStr">
        <is>
          <t>Накладные расходы и расходы на агентство 10% (от А)</t>
        </is>
      </c>
      <c r="D29" t="inlineStr">
        <is>
          <t>усл.</t>
        </is>
      </c>
      <c r="E29" t="n">
        <v>1</v>
      </c>
      <c r="F29" t="n">
        <v>1</v>
      </c>
      <c r="G29" s="4" t="n">
        <v>23850</v>
      </c>
      <c r="H29" s="4" t="n">
        <v>23850</v>
      </c>
    </row>
    <row r="30">
      <c r="C30" s="2" t="inlineStr">
        <is>
          <t>СУММА С РАСХОДАМИ (B)</t>
        </is>
      </c>
      <c r="D30" t="inlineStr">
        <is>
          <t>262 350</t>
        </is>
      </c>
      <c r="E30" t="n">
        <v>130300</v>
      </c>
      <c r="F30" t="n">
        <v>1</v>
      </c>
      <c r="G30" s="4" t="n">
        <v>0</v>
      </c>
      <c r="H30" s="4" t="n">
        <v>0</v>
      </c>
    </row>
    <row r="31">
      <c r="C31" s="2" t="inlineStr">
        <is>
          <t>Налоги (10% от оборота) (B / 0,9 - B)</t>
        </is>
      </c>
      <c r="D31" t="inlineStr">
        <is>
          <t>усл.</t>
        </is>
      </c>
      <c r="E31" t="n">
        <v>1</v>
      </c>
      <c r="F31" t="n">
        <v>1</v>
      </c>
      <c r="G31" s="4" t="n">
        <v>29150</v>
      </c>
      <c r="H31" s="4" t="n">
        <v>29150</v>
      </c>
    </row>
    <row r="32">
      <c r="C32" s="2" t="inlineStr">
        <is>
          <t>ВСЕГО ЗА ТИМБИЛДИНГ</t>
        </is>
      </c>
      <c r="D32" t="inlineStr">
        <is>
          <t>291 500</t>
        </is>
      </c>
      <c r="E32" t="n">
        <v>130300</v>
      </c>
      <c r="F32" t="n">
        <v>1</v>
      </c>
      <c r="G32" s="4" t="n">
        <v>0</v>
      </c>
      <c r="H32" s="4" t="n">
        <v>0</v>
      </c>
    </row>
    <row r="33">
      <c r="C33" s="2" t="inlineStr">
        <is>
          <t>1.  Сумма позиций (А): 238 500 руб. (Клиент)</t>
        </is>
      </c>
      <c r="D33" t="inlineStr">
        <is>
          <t>130 300 руб. (Себестоимость)</t>
        </is>
      </c>
      <c r="E33" t="n">
        <v>1</v>
      </c>
      <c r="F33" t="n">
        <v>1</v>
      </c>
      <c r="G33" s="4" t="n">
        <v>0</v>
      </c>
      <c r="H33" s="4" t="n">
        <v>0</v>
      </c>
    </row>
    <row r="35">
      <c r="G35" s="5" t="inlineStr">
        <is>
          <t>ИТОГО К ОПЛАТЕ:</t>
        </is>
      </c>
      <c r="H35" s="6" t="n">
        <v>187500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2026-02-10T21:11:31Z</dcterms:created>
  <dcterms:modified xsi:type="dcterms:W3CDTF">2026-02-10T21:11:31Z</dcterms:modified>
</cp:coreProperties>
</file>