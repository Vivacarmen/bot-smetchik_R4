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6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B1" s="1" t="inlineStr">
        <is>
          <t>Компания-исполнитель:</t>
        </is>
      </c>
      <c r="C1" t="inlineStr">
        <is>
          <t>R4</t>
        </is>
      </c>
    </row>
    <row r="2">
      <c r="B2" s="1" t="inlineStr">
        <is>
          <t>Заказчик:</t>
        </is>
      </c>
      <c r="C2" t="inlineStr">
        <is>
          <t>Марина, @test (IM)</t>
        </is>
      </c>
    </row>
    <row r="3">
      <c r="B3" s="1" t="inlineStr">
        <is>
          <t>Площадка:</t>
        </is>
      </c>
      <c r="C3" t="inlineStr">
        <is>
          <t>Курорт Завидово, отель Рэдиссон Завидово</t>
        </is>
      </c>
    </row>
    <row r="4">
      <c r="B4" s="1" t="inlineStr">
        <is>
          <t>Дата мероприятия:</t>
        </is>
      </c>
      <c r="C4" t="inlineStr">
        <is>
          <t>14-15 апреля 26</t>
        </is>
      </c>
    </row>
    <row r="5">
      <c r="B5" s="1" t="inlineStr">
        <is>
          <t>Кол-во участников:</t>
        </is>
      </c>
      <c r="C5" t="inlineStr">
        <is>
          <t>30</t>
        </is>
      </c>
    </row>
    <row r="8">
      <c r="B8" s="2" t="inlineStr">
        <is>
          <t>№</t>
        </is>
      </c>
      <c r="C8" s="2" t="inlineStr">
        <is>
          <t>Наименование</t>
        </is>
      </c>
      <c r="D8" s="2" t="inlineStr">
        <is>
          <t>Ед.</t>
        </is>
      </c>
      <c r="E8" s="2" t="inlineStr">
        <is>
          <t>Кол-во (ед.)</t>
        </is>
      </c>
      <c r="F8" s="2" t="inlineStr">
        <is>
          <t>Кол-во услуг</t>
        </is>
      </c>
      <c r="G8" s="2" t="inlineStr">
        <is>
          <t>Цена</t>
        </is>
      </c>
      <c r="H8" s="2" t="inlineStr">
        <is>
          <t>Сумма</t>
        </is>
      </c>
      <c r="I8" s="2" t="inlineStr">
        <is>
          <t>Себестоимость</t>
        </is>
      </c>
      <c r="J8" s="2" t="inlineStr">
        <is>
          <t>Маржа</t>
        </is>
      </c>
    </row>
    <row r="9">
      <c r="B9" t="n">
        <v>1</v>
      </c>
      <c r="C9" t="inlineStr">
        <is>
          <t>Ведущий мероприятия</t>
        </is>
      </c>
      <c r="D9" t="inlineStr">
        <is>
          <t>чел.</t>
        </is>
      </c>
      <c r="E9" t="n">
        <v>1</v>
      </c>
      <c r="F9" t="n">
        <v>1</v>
      </c>
      <c r="G9" t="n">
        <v>30000</v>
      </c>
      <c r="H9">
        <f>E9*F9*G9</f>
        <v/>
      </c>
      <c r="I9" t="n">
        <v>20000</v>
      </c>
      <c r="J9">
        <f>H9-(E9*F9*I9)</f>
        <v/>
      </c>
    </row>
    <row r="10">
      <c r="B10" t="n">
        <v>2</v>
      </c>
      <c r="C10" t="inlineStr">
        <is>
          <t>Реквизит (КОрп приключения)</t>
        </is>
      </c>
      <c r="D10" t="inlineStr">
        <is>
          <t>компл.</t>
        </is>
      </c>
      <c r="E10" t="n">
        <v>1</v>
      </c>
      <c r="F10" t="n">
        <v>1</v>
      </c>
      <c r="G10" t="n">
        <v>50000</v>
      </c>
      <c r="H10">
        <f>E10*F10*G10</f>
        <v/>
      </c>
      <c r="I10" t="n">
        <v>1000</v>
      </c>
      <c r="J10">
        <f>H10-(E10*F10*I10)</f>
        <v/>
      </c>
    </row>
    <row r="11">
      <c r="B11" t="n">
        <v>3</v>
      </c>
      <c r="C11" t="inlineStr">
        <is>
          <t>Тимлидеры</t>
        </is>
      </c>
      <c r="D11" t="inlineStr">
        <is>
          <t>чел.</t>
        </is>
      </c>
      <c r="E11" t="n">
        <v>3</v>
      </c>
      <c r="F11" t="n">
        <v>1</v>
      </c>
      <c r="G11" t="n">
        <v>12000</v>
      </c>
      <c r="H11">
        <f>E11*F11*G11</f>
        <v/>
      </c>
      <c r="I11" t="n">
        <v>7500</v>
      </c>
      <c r="J11">
        <f>H11-(E11*F11*I11)</f>
        <v/>
      </c>
    </row>
    <row r="12">
      <c r="B12" t="n">
        <v>4</v>
      </c>
      <c r="C12" t="inlineStr">
        <is>
          <t>Монтаж-демонтаж</t>
        </is>
      </c>
      <c r="D12" t="inlineStr">
        <is>
          <t>усл.</t>
        </is>
      </c>
      <c r="E12" t="n">
        <v>1</v>
      </c>
      <c r="F12" t="n">
        <v>1</v>
      </c>
      <c r="G12" t="n">
        <v>15000</v>
      </c>
      <c r="H12">
        <f>E12*F12*G12</f>
        <v/>
      </c>
      <c r="I12" t="n">
        <v>10000</v>
      </c>
      <c r="J12">
        <f>H12-(E12*F12*I12)</f>
        <v/>
      </c>
    </row>
    <row r="13">
      <c r="B13" t="n">
        <v>5</v>
      </c>
      <c r="C13" t="inlineStr">
        <is>
          <t>Колонка и микрофон</t>
        </is>
      </c>
      <c r="D13" t="inlineStr">
        <is>
          <t>компл.</t>
        </is>
      </c>
      <c r="E13" t="n">
        <v>1</v>
      </c>
      <c r="F13" t="n">
        <v>1</v>
      </c>
      <c r="G13" t="n">
        <v>10000</v>
      </c>
      <c r="H13">
        <f>E13*F13*G13</f>
        <v/>
      </c>
      <c r="I13" t="n">
        <v>0</v>
      </c>
      <c r="J13">
        <f>H13-(E13*F13*I13)</f>
        <v/>
      </c>
    </row>
    <row r="14">
      <c r="B14" t="n">
        <v>6</v>
      </c>
      <c r="C14" t="inlineStr">
        <is>
          <t>Транспортные расходы</t>
        </is>
      </c>
      <c r="D14" t="inlineStr">
        <is>
          <t>усл.</t>
        </is>
      </c>
      <c r="E14" t="n">
        <v>1</v>
      </c>
      <c r="F14" t="n">
        <v>1</v>
      </c>
      <c r="G14" t="n">
        <v>20000</v>
      </c>
      <c r="H14">
        <f>E14*F14*G14</f>
        <v/>
      </c>
      <c r="I14" t="n">
        <v>0</v>
      </c>
      <c r="J14">
        <f>H14-(E14*F14*I14)</f>
        <v/>
      </c>
    </row>
    <row r="15">
      <c r="B15" t="n">
        <v>7</v>
      </c>
      <c r="C15" t="inlineStr">
        <is>
          <t>Руководитель проекта</t>
        </is>
      </c>
      <c r="D15" t="inlineStr">
        <is>
          <t>чел.</t>
        </is>
      </c>
      <c r="E15" t="n">
        <v>1</v>
      </c>
      <c r="F15" t="n">
        <v>1</v>
      </c>
      <c r="G15" t="n">
        <v>30000</v>
      </c>
      <c r="H15">
        <f>E15*F15*G15</f>
        <v/>
      </c>
      <c r="I15" t="n">
        <v>30000</v>
      </c>
      <c r="J15">
        <f>H15-(E15*F15*I15)</f>
        <v/>
      </c>
    </row>
    <row r="16">
      <c r="B16" t="n">
        <v>8</v>
      </c>
      <c r="C16" t="inlineStr">
        <is>
          <t>Координатор на площадке</t>
        </is>
      </c>
      <c r="D16" t="inlineStr">
        <is>
          <t>чел.</t>
        </is>
      </c>
      <c r="E16" t="n">
        <v>1</v>
      </c>
      <c r="F16" t="n">
        <v>1</v>
      </c>
      <c r="G16" t="n">
        <v>10000</v>
      </c>
      <c r="H16">
        <f>E16*F16*G16</f>
        <v/>
      </c>
      <c r="I16" t="n">
        <v>5000</v>
      </c>
      <c r="J16">
        <f>H16-(E16*F16*I16)</f>
        <v/>
      </c>
    </row>
    <row r="17">
      <c r="B17" t="n">
        <v>9</v>
      </c>
      <c r="C17" t="inlineStr">
        <is>
          <t>Затраты на питание персонала</t>
        </is>
      </c>
      <c r="D17" t="inlineStr">
        <is>
          <t>усл.</t>
        </is>
      </c>
      <c r="E17" t="n">
        <v>1</v>
      </c>
      <c r="F17" t="n">
        <v>1</v>
      </c>
      <c r="G17" t="n">
        <v>0</v>
      </c>
      <c r="H17">
        <f>E17*F17*G17</f>
        <v/>
      </c>
      <c r="I17" t="n">
        <v>3000</v>
      </c>
      <c r="J17">
        <f>H17-(E17*F17*I17)</f>
        <v/>
      </c>
    </row>
    <row r="18">
      <c r="B18" t="n">
        <v>10</v>
      </c>
      <c r="C18" t="inlineStr">
        <is>
          <t>Затраты на приз</t>
        </is>
      </c>
      <c r="D18" t="inlineStr">
        <is>
          <t>шт.</t>
        </is>
      </c>
      <c r="E18" t="n">
        <v>1</v>
      </c>
      <c r="F18" t="n">
        <v>1</v>
      </c>
      <c r="G18" t="n">
        <v>0</v>
      </c>
      <c r="H18">
        <f>E18*F18*G18</f>
        <v/>
      </c>
      <c r="I18" t="n">
        <v>1000</v>
      </c>
      <c r="J18">
        <f>H18-(E18*F18*I18)</f>
        <v/>
      </c>
    </row>
    <row r="19">
      <c r="B19" t="n">
        <v>11</v>
      </c>
      <c r="C19" t="inlineStr">
        <is>
          <t>Распечатка карты</t>
        </is>
      </c>
      <c r="D19" t="inlineStr">
        <is>
          <t>шт.</t>
        </is>
      </c>
      <c r="E19" t="n">
        <v>1</v>
      </c>
      <c r="F19" t="n">
        <v>1</v>
      </c>
      <c r="G19" t="n">
        <v>0</v>
      </c>
      <c r="H19">
        <f>E19*F19*G19</f>
        <v/>
      </c>
      <c r="I19" t="n">
        <v>300</v>
      </c>
      <c r="J19">
        <f>H19-(E19*F19*I19)</f>
        <v/>
      </c>
    </row>
    <row r="20">
      <c r="B20" t="n">
        <v>12</v>
      </c>
      <c r="C20" t="inlineStr">
        <is>
          <t>Аренда территории (Лесная поляна)</t>
        </is>
      </c>
      <c r="D20" t="inlineStr">
        <is>
          <t>усл.</t>
        </is>
      </c>
      <c r="E20" t="n">
        <v>1</v>
      </c>
      <c r="F20" t="n">
        <v>1</v>
      </c>
      <c r="G20" t="n">
        <v>30000</v>
      </c>
      <c r="H20">
        <f>E20*F20*G20</f>
        <v/>
      </c>
      <c r="I20" t="n">
        <v>30000</v>
      </c>
      <c r="J20">
        <f>H20-(E20*F20*I20)</f>
        <v/>
      </c>
    </row>
    <row r="21">
      <c r="B21" t="n">
        <v>13</v>
      </c>
      <c r="C21" t="inlineStr">
        <is>
          <t>Аренда территории (за человека)</t>
        </is>
      </c>
      <c r="D21" t="inlineStr">
        <is>
          <t>чел.</t>
        </is>
      </c>
      <c r="E21" t="n">
        <v>30</v>
      </c>
      <c r="F21" t="n">
        <v>1</v>
      </c>
      <c r="G21" t="n">
        <v>300</v>
      </c>
      <c r="H21">
        <f>E21*F21*G21</f>
        <v/>
      </c>
      <c r="I21" t="n">
        <v>300</v>
      </c>
      <c r="J21">
        <f>H21-(E21*F21*I21)</f>
        <v/>
      </c>
    </row>
    <row r="22">
      <c r="B22" t="n">
        <v>14</v>
      </c>
      <c r="C22" t="inlineStr">
        <is>
          <t>Агентское вознаграждение 10%</t>
        </is>
      </c>
      <c r="D22" t="inlineStr">
        <is>
          <t>усл.</t>
        </is>
      </c>
      <c r="E22" t="n">
        <v>1</v>
      </c>
      <c r="F22" t="n">
        <v>1</v>
      </c>
      <c r="G22" t="n">
        <v>24000</v>
      </c>
      <c r="H22">
        <f>E22*F22*G22</f>
        <v/>
      </c>
      <c r="I22" t="n">
        <v>0</v>
      </c>
      <c r="J22">
        <f>H22-(E22*F22*I22)</f>
        <v/>
      </c>
    </row>
    <row r="23">
      <c r="B23" t="n">
        <v>15</v>
      </c>
      <c r="C23" t="inlineStr">
        <is>
          <t>Налог от оборота 10%</t>
        </is>
      </c>
      <c r="D23" t="inlineStr">
        <is>
          <t>усл.</t>
        </is>
      </c>
      <c r="E23" t="n">
        <v>1</v>
      </c>
      <c r="F23" t="n">
        <v>1</v>
      </c>
      <c r="G23" t="n">
        <v>29333</v>
      </c>
      <c r="H23">
        <f>E23*F23*G23</f>
        <v/>
      </c>
      <c r="I23" t="n">
        <v>0</v>
      </c>
      <c r="J23">
        <f>H23-(E23*F23*I23)</f>
        <v/>
      </c>
    </row>
    <row r="24">
      <c r="B24" t="n">
        <v>16</v>
      </c>
      <c r="C24" t="inlineStr">
        <is>
          <t>Всего за тимбилдинг</t>
        </is>
      </c>
      <c r="D24" t="inlineStr">
        <is>
          <t>усл.</t>
        </is>
      </c>
      <c r="E24" t="n">
        <v>1</v>
      </c>
      <c r="F24" t="n">
        <v>1</v>
      </c>
      <c r="G24" t="n">
        <v>293333</v>
      </c>
      <c r="H24">
        <f>E24*F24*G24</f>
        <v/>
      </c>
      <c r="I24" t="n">
        <v>131800</v>
      </c>
      <c r="J24">
        <f>H24-(E24*F24*I24)</f>
        <v/>
      </c>
    </row>
    <row r="26">
      <c r="G26" s="1" t="inlineStr">
        <is>
          <t>ИТОГО:</t>
        </is>
      </c>
      <c r="H26" s="1">
        <f>SUM(H9:H24)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2026-02-09T13:13:30Z</dcterms:created>
  <dcterms:modified xsi:type="dcterms:W3CDTF">2026-02-09T13:13:30Z</dcterms:modified>
</cp:coreProperties>
</file>