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_-&quot;₽&quot;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4F81BD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sz val="11"/>
    </font>
    <font>
      <b val="1"/>
      <color rgb="00CC0000"/>
      <sz val="12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  <xf numFmtId="164" fontId="0" fillId="0" borderId="1" pivotButton="0" quotePrefix="0" xfId="0"/>
    <xf numFmtId="0" fontId="5" fillId="0" borderId="0" pivotButton="0" quotePrefix="0" xfId="0"/>
    <xf numFmtId="164" fontId="0" fillId="0" borderId="0" pivotButton="0" quotePrefix="0" xfId="0"/>
    <xf numFmtId="0" fontId="6" fillId="0" borderId="0" pivotButton="0" quotePrefix="0" xfId="0"/>
    <xf numFmtId="164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5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51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8" customWidth="1" min="3" max="3"/>
    <col width="10" customWidth="1" min="4" max="4"/>
    <col width="12" customWidth="1" min="5" max="5"/>
    <col width="15" customWidth="1" min="6" max="6"/>
    <col width="18" customWidth="1" min="7" max="7"/>
  </cols>
  <sheetData>
    <row r="2">
      <c r="C2" s="1" t="inlineStr">
        <is>
          <t>КОММЕРЧЕСКОЕ ПРЕДЛОЖЕНИЕ</t>
        </is>
      </c>
    </row>
    <row r="4">
      <c r="C4" s="2" t="inlineStr">
        <is>
          <t>Клиент:</t>
        </is>
      </c>
      <c r="D4" t="inlineStr">
        <is>
          <t>-</t>
        </is>
      </c>
    </row>
    <row r="5">
      <c r="C5" s="2" t="inlineStr">
        <is>
          <t>Дата проекта:</t>
        </is>
      </c>
      <c r="D5" t="inlineStr">
        <is>
          <t>18 апр</t>
        </is>
      </c>
    </row>
    <row r="6">
      <c r="C6" s="2" t="inlineStr">
        <is>
          <t>Локация:</t>
        </is>
      </c>
      <c r="D6" t="inlineStr">
        <is>
          <t>-</t>
        </is>
      </c>
    </row>
    <row r="7">
      <c r="C7" s="2" t="inlineStr">
        <is>
          <t>Кол-во гостей:</t>
        </is>
      </c>
      <c r="D7" t="inlineStr">
        <is>
          <t>123</t>
        </is>
      </c>
    </row>
    <row r="10">
      <c r="A10" s="3" t="inlineStr">
        <is>
          <t>№</t>
        </is>
      </c>
      <c r="B10" s="3" t="inlineStr">
        <is>
          <t>Наименование услуги</t>
        </is>
      </c>
      <c r="C10" s="3" t="inlineStr">
        <is>
          <t>Ед.</t>
        </is>
      </c>
      <c r="D10" s="3" t="inlineStr">
        <is>
          <t>Кол-во</t>
        </is>
      </c>
      <c r="E10" s="3" t="inlineStr">
        <is>
          <t>Дни/Часы</t>
        </is>
      </c>
      <c r="F10" s="3" t="inlineStr">
        <is>
          <t>Цена</t>
        </is>
      </c>
      <c r="G10" s="3" t="inlineStr">
        <is>
          <t>Сумма</t>
        </is>
      </c>
    </row>
    <row r="11">
      <c r="A11" s="4" t="inlineStr">
        <is>
          <t>Клиент: [Не указан]</t>
        </is>
      </c>
    </row>
    <row r="12">
      <c r="A12" s="4" t="inlineStr">
        <is>
          <t>Компания: R4</t>
        </is>
      </c>
    </row>
    <row r="13">
      <c r="A13" s="4" t="inlineStr">
        <is>
          <t>Количество участников: 123 человека</t>
        </is>
      </c>
    </row>
    <row r="14">
      <c r="A14" s="4" t="inlineStr">
        <is>
          <t>Количество команд: 12</t>
        </is>
      </c>
    </row>
    <row r="15">
      <c r="A15" s="4" t="inlineStr">
        <is>
          <t>### РАЗДЕЛ 1: ПЕРСОНАЛ И КООРДИНАЦИЯ</t>
        </is>
      </c>
    </row>
    <row r="16">
      <c r="A16" s="5" t="n">
        <v>1</v>
      </c>
      <c r="B16" s="6" t="inlineStr">
        <is>
          <t>| Менеджер проекта (4 дня подготовки и реализации)</t>
        </is>
      </c>
      <c r="C16" s="5" t="inlineStr">
        <is>
          <t>усл.</t>
        </is>
      </c>
      <c r="D16" s="5" t="n">
        <v>1</v>
      </c>
      <c r="E16" s="5" t="n">
        <v>4</v>
      </c>
      <c r="F16" s="7" t="n">
        <v>35000</v>
      </c>
      <c r="G16" s="7">
        <f>D16*E16*F16</f>
        <v/>
      </c>
    </row>
    <row r="17">
      <c r="A17" s="5" t="n">
        <v>2</v>
      </c>
      <c r="B17" s="6" t="inlineStr">
        <is>
          <t>| Координатор на площадке</t>
        </is>
      </c>
      <c r="C17" s="5" t="inlineStr">
        <is>
          <t>усл.</t>
        </is>
      </c>
      <c r="D17" s="5" t="n">
        <v>2</v>
      </c>
      <c r="E17" s="5" t="n">
        <v>4</v>
      </c>
      <c r="F17" s="7" t="n">
        <v>15000</v>
      </c>
      <c r="G17" s="7">
        <f>D17*E17*F17</f>
        <v/>
      </c>
    </row>
    <row r="18">
      <c r="A18" s="5" t="n">
        <v>3</v>
      </c>
      <c r="B18" s="6" t="inlineStr">
        <is>
          <t>| Главный ведущий игры/Фасилитатор</t>
        </is>
      </c>
      <c r="C18" s="5" t="inlineStr">
        <is>
          <t>усл.</t>
        </is>
      </c>
      <c r="D18" s="5" t="n">
        <v>1</v>
      </c>
      <c r="E18" s="5" t="n">
        <v>2</v>
      </c>
      <c r="F18" s="7" t="n">
        <v>60000</v>
      </c>
      <c r="G18" s="7">
        <f>D18*E18*F18</f>
        <v/>
      </c>
    </row>
    <row r="19">
      <c r="A19" s="5" t="n">
        <v>4</v>
      </c>
      <c r="B19" s="6" t="inlineStr">
        <is>
          <t>| Игровой мастер (GM) для 12 команд (1 ГМ на 3 команды)</t>
        </is>
      </c>
      <c r="C19" s="5" t="inlineStr">
        <is>
          <t>усл.</t>
        </is>
      </c>
      <c r="D19" s="5" t="n">
        <v>4</v>
      </c>
      <c r="E19" s="5" t="n">
        <v>2</v>
      </c>
      <c r="F19" s="7" t="n">
        <v>18000</v>
      </c>
      <c r="G19" s="7">
        <f>D19*E19*F19</f>
        <v/>
      </c>
    </row>
    <row r="20">
      <c r="A20" s="5" t="n">
        <v>5</v>
      </c>
      <c r="B20" s="6" t="inlineStr">
        <is>
          <t>| Ассистентхронометрист (Старт/Финиш)</t>
        </is>
      </c>
      <c r="C20" s="5" t="inlineStr">
        <is>
          <t>усл.</t>
        </is>
      </c>
      <c r="D20" s="5" t="n">
        <v>2</v>
      </c>
      <c r="E20" s="5" t="n">
        <v>2</v>
      </c>
      <c r="F20" s="7" t="n">
        <v>8000</v>
      </c>
      <c r="G20" s="7">
        <f>D20*E20*F20</f>
        <v/>
      </c>
    </row>
    <row r="21">
      <c r="A21" s="5" t="n">
        <v>6</v>
      </c>
      <c r="B21" s="6" t="inlineStr">
        <is>
          <t>| Технический персонал для установки реквизита</t>
        </is>
      </c>
      <c r="C21" s="5" t="inlineStr">
        <is>
          <t>усл.</t>
        </is>
      </c>
      <c r="D21" s="5" t="n">
        <v>4</v>
      </c>
      <c r="E21" s="5" t="n">
        <v>2</v>
      </c>
      <c r="F21" s="7" t="n">
        <v>9000</v>
      </c>
      <c r="G21" s="7">
        <f>D21*E21*F21</f>
        <v/>
      </c>
    </row>
    <row r="22">
      <c r="A22" s="5" t="n">
        <v>7</v>
      </c>
      <c r="B22" s="6" t="inlineStr">
        <is>
          <t>| Фотограф (полный день)</t>
        </is>
      </c>
      <c r="C22" s="5" t="inlineStr">
        <is>
          <t>усл.</t>
        </is>
      </c>
      <c r="D22" s="5" t="n">
        <v>1</v>
      </c>
      <c r="E22" s="5" t="n">
        <v>2</v>
      </c>
      <c r="F22" s="7" t="n">
        <v>40000</v>
      </c>
      <c r="G22" s="7">
        <f>D22*E22*F22</f>
        <v/>
      </c>
    </row>
    <row r="23">
      <c r="A23" s="5" t="n">
        <v>8</v>
      </c>
      <c r="B23" s="6" t="inlineStr">
        <is>
          <t>| Медицинский работник / Сопровождающий</t>
        </is>
      </c>
      <c r="C23" s="5" t="inlineStr">
        <is>
          <t>усл.</t>
        </is>
      </c>
      <c r="D23" s="5" t="n">
        <v>1</v>
      </c>
      <c r="E23" s="5" t="n">
        <v>2</v>
      </c>
      <c r="F23" s="7" t="n">
        <v>15000</v>
      </c>
      <c r="G23" s="7">
        <f>D23*E23*F23</f>
        <v/>
      </c>
    </row>
    <row r="24">
      <c r="A24" s="4" t="inlineStr">
        <is>
          <t>### РАЗДЕЛ 2: РАЗРАБОТКА ИГРЫ И РЕКВИЗИТ</t>
        </is>
      </c>
    </row>
    <row r="25">
      <c r="A25" s="5" t="n">
        <v>9</v>
      </c>
      <c r="B25" s="6" t="inlineStr">
        <is>
          <t>| Разработка индивидуального сценария квеста и логистики</t>
        </is>
      </c>
      <c r="C25" s="5" t="inlineStr">
        <is>
          <t>усл.</t>
        </is>
      </c>
      <c r="D25" s="5" t="n">
        <v>1</v>
      </c>
      <c r="E25" s="5" t="n">
        <v>1</v>
      </c>
      <c r="F25" s="7" t="n">
        <v>150000</v>
      </c>
      <c r="G25" s="7">
        <f>D25*E25*F25</f>
        <v/>
      </c>
    </row>
    <row r="26">
      <c r="A26" s="5" t="n">
        <v>10</v>
      </c>
      <c r="B26" s="6" t="inlineStr">
        <is>
          <t>| Комплект печатных материалов (Карты, шифры)</t>
        </is>
      </c>
      <c r="C26" s="5" t="inlineStr">
        <is>
          <t>усл.</t>
        </is>
      </c>
      <c r="D26" s="5" t="n">
        <v>123</v>
      </c>
      <c r="E26" s="5" t="n">
        <v>1</v>
      </c>
      <c r="F26" s="7" t="n">
        <v>300</v>
      </c>
      <c r="G26" s="7">
        <f>D26*E26*F26</f>
        <v/>
      </c>
    </row>
    <row r="27">
      <c r="A27" s="5" t="n">
        <v>11</v>
      </c>
      <c r="B27" s="6" t="inlineStr">
        <is>
          <t>| Комплект реквизита для 12 контрольных точек</t>
        </is>
      </c>
      <c r="C27" s="5" t="inlineStr">
        <is>
          <t>усл.</t>
        </is>
      </c>
      <c r="D27" s="5" t="n">
        <v>12</v>
      </c>
      <c r="E27" s="5" t="n">
        <v>1</v>
      </c>
      <c r="F27" s="7" t="n">
        <v>10000</v>
      </c>
      <c r="G27" s="7">
        <f>D27*E27*F27</f>
        <v/>
      </c>
    </row>
    <row r="28">
      <c r="A28" s="5" t="n">
        <v>12</v>
      </c>
      <c r="B28" s="6" t="inlineStr">
        <is>
          <t>| Фирменная экипировка для команд (Банданы/повязки)</t>
        </is>
      </c>
      <c r="C28" s="5" t="inlineStr">
        <is>
          <t>усл.</t>
        </is>
      </c>
      <c r="D28" s="5" t="n">
        <v>123</v>
      </c>
      <c r="E28" s="5" t="n">
        <v>1</v>
      </c>
      <c r="F28" s="7" t="n">
        <v>850</v>
      </c>
      <c r="G28" s="7">
        <f>D28*E28*F28</f>
        <v/>
      </c>
    </row>
    <row r="29">
      <c r="A29" s="5" t="n">
        <v>13</v>
      </c>
      <c r="B29" s="6" t="inlineStr">
        <is>
          <t>| Аренда/Декорирование Главного сундука (Сокровищница)</t>
        </is>
      </c>
      <c r="C29" s="5" t="inlineStr">
        <is>
          <t>усл.</t>
        </is>
      </c>
      <c r="D29" s="5" t="n">
        <v>1</v>
      </c>
      <c r="E29" s="5" t="n">
        <v>1</v>
      </c>
      <c r="F29" s="7" t="n">
        <v>12000</v>
      </c>
      <c r="G29" s="7">
        <f>D29*E29*F29</f>
        <v/>
      </c>
    </row>
    <row r="30">
      <c r="A30" s="5" t="n">
        <v>14</v>
      </c>
      <c r="B30" s="6" t="inlineStr">
        <is>
          <t>| Закупка призов и наград для командпобедителей</t>
        </is>
      </c>
      <c r="C30" s="5" t="inlineStr">
        <is>
          <t>усл.</t>
        </is>
      </c>
      <c r="D30" s="5" t="n">
        <v>1</v>
      </c>
      <c r="E30" s="5" t="n">
        <v>1</v>
      </c>
      <c r="F30" s="7" t="n">
        <v>50000</v>
      </c>
      <c r="G30" s="7">
        <f>D30*E30*F30</f>
        <v/>
      </c>
    </row>
    <row r="31">
      <c r="A31" s="5" t="n">
        <v>15</v>
      </c>
      <c r="B31" s="6" t="inlineStr">
        <is>
          <t>| Навигационные инструменты (Компасы, фонари)</t>
        </is>
      </c>
      <c r="C31" s="5" t="inlineStr">
        <is>
          <t>усл.</t>
        </is>
      </c>
      <c r="D31" s="5" t="n">
        <v>12</v>
      </c>
      <c r="E31" s="5" t="n">
        <v>1</v>
      </c>
      <c r="F31" s="7" t="n">
        <v>500</v>
      </c>
      <c r="G31" s="7">
        <f>D31*E31*F31</f>
        <v/>
      </c>
    </row>
    <row r="32">
      <c r="A32" s="4" t="inlineStr">
        <is>
          <t>### РАЗДЕЛ 3: ЛОГИСТИКА И ТЕХНИЧЕСКОЕ ОБЕСПЕЧЕНИЕ</t>
        </is>
      </c>
    </row>
    <row r="33">
      <c r="A33" s="5" t="n">
        <v>16</v>
      </c>
      <c r="B33" s="6" t="inlineStr">
        <is>
          <t>| Аренда радиостанций (для 10 человек координации)</t>
        </is>
      </c>
      <c r="C33" s="5" t="inlineStr">
        <is>
          <t>усл.</t>
        </is>
      </c>
      <c r="D33" s="5" t="n">
        <v>10</v>
      </c>
      <c r="E33" s="5" t="n">
        <v>2</v>
      </c>
      <c r="F33" s="7" t="n">
        <v>700</v>
      </c>
      <c r="G33" s="7">
        <f>D33*E33*F33</f>
        <v/>
      </c>
    </row>
    <row r="34">
      <c r="A34" s="5" t="n">
        <v>17</v>
      </c>
      <c r="B34" s="6" t="inlineStr">
        <is>
          <t>| Аренда звукового оборудования (Старт/Финиш)</t>
        </is>
      </c>
      <c r="C34" s="5" t="inlineStr">
        <is>
          <t>усл.</t>
        </is>
      </c>
      <c r="D34" s="5" t="n">
        <v>1</v>
      </c>
      <c r="E34" s="5" t="n">
        <v>1</v>
      </c>
      <c r="F34" s="7" t="n">
        <v>30000</v>
      </c>
      <c r="G34" s="7">
        <f>D34*E34*F34</f>
        <v/>
      </c>
    </row>
    <row r="35">
      <c r="A35" s="5" t="n">
        <v>18</v>
      </c>
      <c r="B35" s="6" t="inlineStr">
        <is>
          <t>| Оформление стартовой и финишной зон</t>
        </is>
      </c>
      <c r="C35" s="5" t="inlineStr">
        <is>
          <t>усл.</t>
        </is>
      </c>
      <c r="D35" s="5" t="n">
        <v>1</v>
      </c>
      <c r="E35" s="5" t="n">
        <v>1</v>
      </c>
      <c r="F35" s="7" t="n">
        <v>20000</v>
      </c>
      <c r="G35" s="7">
        <f>D35*E35*F35</f>
        <v/>
      </c>
    </row>
    <row r="36">
      <c r="A36" s="5" t="n">
        <v>19</v>
      </c>
      <c r="B36" s="6" t="inlineStr">
        <is>
          <t>| Аренда генератора (для удаленных точек)</t>
        </is>
      </c>
      <c r="C36" s="5" t="inlineStr">
        <is>
          <t>усл.</t>
        </is>
      </c>
      <c r="D36" s="5" t="n">
        <v>1</v>
      </c>
      <c r="E36" s="5" t="n">
        <v>1</v>
      </c>
      <c r="F36" s="7" t="n">
        <v>8000</v>
      </c>
      <c r="G36" s="7">
        <f>D36*E36*F36</f>
        <v/>
      </c>
    </row>
    <row r="37">
      <c r="A37" s="5" t="n">
        <v>20</v>
      </c>
      <c r="B37" s="6" t="inlineStr">
        <is>
          <t>| Трансфер персонала и реквизита (Грузовой микроавтобус)</t>
        </is>
      </c>
      <c r="C37" s="5" t="inlineStr">
        <is>
          <t>усл.</t>
        </is>
      </c>
      <c r="D37" s="5" t="n">
        <v>2</v>
      </c>
      <c r="E37" s="5" t="n">
        <v>1</v>
      </c>
      <c r="F37" s="7" t="n">
        <v>15000</v>
      </c>
      <c r="G37" s="7">
        <f>D37*E37*F37</f>
        <v/>
      </c>
    </row>
    <row r="38">
      <c r="A38" s="5" t="n">
        <v>21</v>
      </c>
      <c r="B38" s="6" t="inlineStr">
        <is>
          <t>| Страхование участников на время проведения квеста</t>
        </is>
      </c>
      <c r="C38" s="5" t="inlineStr">
        <is>
          <t>усл.</t>
        </is>
      </c>
      <c r="D38" s="5" t="n">
        <v>123</v>
      </c>
      <c r="E38" s="5" t="n">
        <v>1</v>
      </c>
      <c r="F38" s="7" t="n">
        <v>1200</v>
      </c>
      <c r="G38" s="7">
        <f>D38*E38*F38</f>
        <v/>
      </c>
    </row>
    <row r="39">
      <c r="A39" s="5" t="n">
        <v>22</v>
      </c>
      <c r="B39" s="6" t="inlineStr">
        <is>
          <t>| Приветственный кофебрейк (утро D1)</t>
        </is>
      </c>
      <c r="C39" s="5" t="inlineStr">
        <is>
          <t>усл.</t>
        </is>
      </c>
      <c r="D39" s="5" t="n">
        <v>123</v>
      </c>
      <c r="E39" s="5" t="n">
        <v>1</v>
      </c>
      <c r="F39" s="7" t="n">
        <v>1500</v>
      </c>
      <c r="G39" s="7">
        <f>D39*E39*F39</f>
        <v/>
      </c>
    </row>
    <row r="40">
      <c r="A40" s="5" t="n">
        <v>23</v>
      </c>
      <c r="B40" s="6" t="inlineStr">
        <is>
          <t>| Организация полевого обеда (Ланчбоксы на маршруте)</t>
        </is>
      </c>
      <c r="C40" s="5" t="inlineStr">
        <is>
          <t>усл.</t>
        </is>
      </c>
      <c r="D40" s="5" t="n">
        <v>123</v>
      </c>
      <c r="E40" s="5" t="n">
        <v>1</v>
      </c>
      <c r="F40" s="7" t="n">
        <v>2200</v>
      </c>
      <c r="G40" s="7">
        <f>D40*E40*F40</f>
        <v/>
      </c>
    </row>
    <row r="41">
      <c r="A41" s="5" t="n">
        <v>24</v>
      </c>
      <c r="B41" s="6" t="inlineStr">
        <is>
          <t>| Питьевая бутилированная вода (8 литров на человека)</t>
        </is>
      </c>
      <c r="C41" s="5" t="inlineStr">
        <is>
          <t>усл.</t>
        </is>
      </c>
      <c r="D41" s="5" t="n">
        <v>123</v>
      </c>
      <c r="E41" s="5" t="n">
        <v>1</v>
      </c>
      <c r="F41" s="7" t="n">
        <v>500</v>
      </c>
      <c r="G41" s="7">
        <f>D41*E41*F41</f>
        <v/>
      </c>
    </row>
    <row r="42">
      <c r="A42" s="5" t="n">
        <v>25</v>
      </c>
      <c r="B42" s="6" t="inlineStr">
        <is>
          <t>| Фруктовые и энергетические перекусы (на маршруте)</t>
        </is>
      </c>
      <c r="C42" s="5" t="inlineStr">
        <is>
          <t>усл.</t>
        </is>
      </c>
      <c r="D42" s="5" t="n">
        <v>123</v>
      </c>
      <c r="E42" s="5" t="n">
        <v>1</v>
      </c>
      <c r="F42" s="7" t="n">
        <v>800</v>
      </c>
      <c r="G42" s="7">
        <f>D42*E42*F42</f>
        <v/>
      </c>
    </row>
    <row r="43">
      <c r="A43" s="4" t="inlineStr">
        <is>
          <t>### РАЗДЕЛ 5: АДМИНИСТРАТИВНЫЕ РАСХОДЫ И РЕЗЕРВ</t>
        </is>
      </c>
    </row>
    <row r="44">
      <c r="A44" s="5" t="n">
        <v>26</v>
      </c>
      <c r="B44" s="6" t="inlineStr">
        <is>
          <t>| Административные расходы и связь</t>
        </is>
      </c>
      <c r="C44" s="5" t="inlineStr">
        <is>
          <t>усл.</t>
        </is>
      </c>
      <c r="D44" s="5" t="n">
        <v>1</v>
      </c>
      <c r="E44" s="5" t="n">
        <v>4</v>
      </c>
      <c r="F44" s="7" t="n">
        <v>25000</v>
      </c>
      <c r="G44" s="7">
        <f>D44*E44*F44</f>
        <v/>
      </c>
    </row>
    <row r="45">
      <c r="A45" s="5" t="n">
        <v>27</v>
      </c>
      <c r="B45" s="6" t="inlineStr">
        <is>
          <t>| Непредвиденные расходы (Резервный фонд)</t>
        </is>
      </c>
      <c r="C45" s="5" t="inlineStr">
        <is>
          <t>усл.</t>
        </is>
      </c>
      <c r="D45" s="5" t="n">
        <v>1</v>
      </c>
      <c r="E45" s="5" t="n">
        <v>1</v>
      </c>
      <c r="F45" s="7" t="n">
        <v>150000</v>
      </c>
      <c r="G45" s="7">
        <f>D45*E45*F45</f>
        <v/>
      </c>
    </row>
    <row r="47">
      <c r="F47" s="8" t="inlineStr">
        <is>
          <t>ИТОГО УСЛУГИ:</t>
        </is>
      </c>
      <c r="G47" s="9">
        <f>SUM(G11:G46)</f>
        <v/>
      </c>
    </row>
    <row r="48">
      <c r="F48" t="inlineStr">
        <is>
          <t>Агентское вознаграждение (10%):</t>
        </is>
      </c>
      <c r="G48" s="9">
        <f>G47*0.1</f>
        <v/>
      </c>
    </row>
    <row r="49">
      <c r="F49" t="inlineStr">
        <is>
          <t>Налоги и банк. расходы (10%):</t>
        </is>
      </c>
      <c r="G49" s="9">
        <f>G47*0.1</f>
        <v/>
      </c>
    </row>
    <row r="51">
      <c r="F51" s="10" t="inlineStr">
        <is>
          <t>ВСЕГО К ОПЛАТЕ:</t>
        </is>
      </c>
      <c r="G51" s="11">
        <f>G47+G48+G49</f>
        <v/>
      </c>
    </row>
  </sheetData>
  <mergeCells count="9">
    <mergeCell ref="A32:G32"/>
    <mergeCell ref="A13:G13"/>
    <mergeCell ref="A14:G14"/>
    <mergeCell ref="C2:G2"/>
    <mergeCell ref="A12:G12"/>
    <mergeCell ref="A24:G24"/>
    <mergeCell ref="A15:G15"/>
    <mergeCell ref="A43:G43"/>
    <mergeCell ref="A11:G1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2026-02-06T18:28:34Z</dcterms:created>
  <dcterms:modified xsi:type="dcterms:W3CDTF">2026-02-06T18:28:34Z</dcterms:modified>
</cp:coreProperties>
</file>