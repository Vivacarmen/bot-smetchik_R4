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2C3E50"/>
        <bgColor rgb="002C3E50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3" fontId="0" fillId="0" borderId="0" pivotButton="0" quotePrefix="0" xfId="0"/>
    <xf numFmtId="0" fontId="2" fillId="4" borderId="0" pivotButton="0" quotePrefix="0" xfId="0"/>
    <xf numFmtId="3" fontId="2" fillId="0" borderId="0" pivotButton="0" quotePrefix="0" xfId="0"/>
    <xf numFmtId="0" fontId="4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7"/>
  <sheetViews>
    <sheetView workbookViewId="0">
      <selection activeCell="A1" sqref="A1"/>
    </sheetView>
  </sheetViews>
  <sheetFormatPr baseColWidth="8" defaultRowHeight="15"/>
  <cols>
    <col width="50" customWidth="1" min="3" max="3"/>
    <col width="15" customWidth="1" min="8" max="8"/>
  </cols>
  <sheetData>
    <row r="2">
      <c r="B2" s="1" t="inlineStr">
        <is>
          <t>КОММЕРЧЕСКОЕ ПРЕДЛОЖЕНИЕ: R4</t>
        </is>
      </c>
    </row>
    <row r="4">
      <c r="B4" s="2" t="inlineStr">
        <is>
          <t>Заказчик:</t>
        </is>
      </c>
      <c r="C4" t="inlineStr">
        <is>
          <t>Marina, @vivacarmen (IM)</t>
        </is>
      </c>
    </row>
    <row r="5">
      <c r="B5" s="2" t="inlineStr">
        <is>
          <t>Локация:</t>
        </is>
      </c>
      <c r="C5" t="inlineStr">
        <is>
          <t>Курорт Завидово, отель Рэдиссон Завидово</t>
        </is>
      </c>
    </row>
    <row r="6">
      <c r="B6" s="2" t="inlineStr">
        <is>
          <t>Дата:</t>
        </is>
      </c>
      <c r="C6" t="inlineStr">
        <is>
          <t>09 мая 2026</t>
        </is>
      </c>
    </row>
    <row r="7">
      <c r="B7" s="2" t="inlineStr">
        <is>
          <t>Кол-во гостей:</t>
        </is>
      </c>
      <c r="C7" t="inlineStr">
        <is>
          <t>30</t>
        </is>
      </c>
    </row>
    <row r="9">
      <c r="B9" s="3" t="inlineStr">
        <is>
          <t>№</t>
        </is>
      </c>
      <c r="C9" s="3" t="inlineStr">
        <is>
          <t>Наименование</t>
        </is>
      </c>
      <c r="D9" s="3" t="inlineStr">
        <is>
          <t>Ед.</t>
        </is>
      </c>
      <c r="E9" s="3" t="inlineStr">
        <is>
          <t>Кол-во</t>
        </is>
      </c>
      <c r="F9" s="3" t="inlineStr">
        <is>
          <t>Дни/Часы</t>
        </is>
      </c>
      <c r="G9" s="3" t="inlineStr">
        <is>
          <t>Цена</t>
        </is>
      </c>
      <c r="H9" s="3" t="inlineStr">
        <is>
          <t>Сумма</t>
        </is>
      </c>
    </row>
    <row r="10">
      <c r="B10" t="n">
        <v>1</v>
      </c>
      <c r="C10">
        <f>= АРЕНДА ТЕРРИТОРИИ ==</f>
        <v/>
      </c>
      <c r="D10" t="inlineStr">
        <is>
          <t>усл.</t>
        </is>
      </c>
      <c r="E10" t="n">
        <v>1</v>
      </c>
      <c r="F10" t="n">
        <v>1</v>
      </c>
      <c r="G10" t="n">
        <v>0</v>
      </c>
      <c r="H10" s="4">
        <f>E10*F10*G10</f>
        <v/>
      </c>
    </row>
    <row r="11">
      <c r="B11" t="n">
        <v>2</v>
      </c>
      <c r="C11" t="inlineStr">
        <is>
          <t>Аренда территории «Лесная поляна» (База)</t>
        </is>
      </c>
      <c r="D11" t="inlineStr">
        <is>
          <t>усл.</t>
        </is>
      </c>
      <c r="E11" t="n">
        <v>1</v>
      </c>
      <c r="F11" t="n">
        <v>1</v>
      </c>
      <c r="G11" t="n">
        <v>30000</v>
      </c>
      <c r="H11" s="4">
        <f>E11*F11*G11</f>
        <v/>
      </c>
    </row>
    <row r="12">
      <c r="B12" t="n">
        <v>3</v>
      </c>
      <c r="C12" t="inlineStr">
        <is>
          <t>Аренда территории «Лесная поляна» (За чел.)</t>
        </is>
      </c>
      <c r="D12" t="inlineStr">
        <is>
          <t>чел.</t>
        </is>
      </c>
      <c r="E12" t="n">
        <v>30</v>
      </c>
      <c r="F12" t="n">
        <v>1</v>
      </c>
      <c r="G12" t="n">
        <v>9000</v>
      </c>
      <c r="H12" s="4">
        <f>E12*F12*G12</f>
        <v/>
      </c>
    </row>
    <row r="13">
      <c r="B13" t="n">
        <v>4</v>
      </c>
      <c r="C13">
        <f>= ПРОГРАММА И РЕКВИЗИТ ==</f>
        <v/>
      </c>
      <c r="D13" t="inlineStr">
        <is>
          <t>усл.</t>
        </is>
      </c>
      <c r="E13" t="n">
        <v>1</v>
      </c>
      <c r="F13" t="n">
        <v>1</v>
      </c>
      <c r="G13" t="n">
        <v>0</v>
      </c>
      <c r="H13" s="4">
        <f>E13*F13*G13</f>
        <v/>
      </c>
    </row>
    <row r="14">
      <c r="B14" t="n">
        <v>5</v>
      </c>
      <c r="C14" t="inlineStr">
        <is>
          <t>Ведущий мероприятия</t>
        </is>
      </c>
      <c r="D14" t="inlineStr">
        <is>
          <t>чел.</t>
        </is>
      </c>
      <c r="E14" t="n">
        <v>1</v>
      </c>
      <c r="F14" t="n">
        <v>1</v>
      </c>
      <c r="G14" t="n">
        <v>30000</v>
      </c>
      <c r="H14" s="4">
        <f>E14*F14*G14</f>
        <v/>
      </c>
    </row>
    <row r="15">
      <c r="B15" t="n">
        <v>6</v>
      </c>
      <c r="C15" t="inlineStr">
        <is>
          <t>Реквизит для тимбилдинга</t>
        </is>
      </c>
      <c r="D15" t="inlineStr">
        <is>
          <t>компл.</t>
        </is>
      </c>
      <c r="E15" t="n">
        <v>1</v>
      </c>
      <c r="F15" t="n">
        <v>1</v>
      </c>
      <c r="G15" t="n">
        <v>50000</v>
      </c>
      <c r="H15" s="4">
        <f>E15*F15*G15</f>
        <v/>
      </c>
    </row>
    <row r="16">
      <c r="B16" t="n">
        <v>7</v>
      </c>
      <c r="C16" t="inlineStr">
        <is>
          <t>Тимлидеры (30 чел. / 10 = 3 чел.)</t>
        </is>
      </c>
      <c r="D16" t="inlineStr">
        <is>
          <t>чел.</t>
        </is>
      </c>
      <c r="E16" t="n">
        <v>3</v>
      </c>
      <c r="F16" t="n">
        <v>1</v>
      </c>
      <c r="G16" t="n">
        <v>36000</v>
      </c>
      <c r="H16" s="4">
        <f>E16*F16*G16</f>
        <v/>
      </c>
    </row>
    <row r="17">
      <c r="B17" t="n">
        <v>8</v>
      </c>
      <c r="C17" t="inlineStr">
        <is>
          <t>Распечатка карты (для реквизита)</t>
        </is>
      </c>
      <c r="D17" t="inlineStr">
        <is>
          <t>шт.</t>
        </is>
      </c>
      <c r="E17" t="n">
        <v>1</v>
      </c>
      <c r="F17" t="n">
        <v>1</v>
      </c>
      <c r="G17" t="n">
        <v>0</v>
      </c>
      <c r="H17" s="4">
        <f>E17*F17*G17</f>
        <v/>
      </c>
    </row>
    <row r="18">
      <c r="B18" t="n">
        <v>9</v>
      </c>
      <c r="C18" t="inlineStr">
        <is>
          <t>Приз для команды-победителя</t>
        </is>
      </c>
      <c r="D18" t="inlineStr">
        <is>
          <t>шт.</t>
        </is>
      </c>
      <c r="E18" t="n">
        <v>1</v>
      </c>
      <c r="F18" t="n">
        <v>1</v>
      </c>
      <c r="G18" t="n">
        <v>0</v>
      </c>
      <c r="H18" s="4">
        <f>E18*F18*G18</f>
        <v/>
      </c>
    </row>
    <row r="19">
      <c r="B19" t="n">
        <v>10</v>
      </c>
      <c r="C19">
        <f>= ТЕХНИЧЕСКОЕ ОБЕСПЕЧЕНИЕ И ЛОГИСТИКА ==</f>
        <v/>
      </c>
      <c r="D19" t="inlineStr">
        <is>
          <t>усл.</t>
        </is>
      </c>
      <c r="E19" t="n">
        <v>1</v>
      </c>
      <c r="F19" t="n">
        <v>1</v>
      </c>
      <c r="G19" t="n">
        <v>0</v>
      </c>
      <c r="H19" s="4">
        <f>E19*F19*G19</f>
        <v/>
      </c>
    </row>
    <row r="20">
      <c r="B20" t="n">
        <v>11</v>
      </c>
      <c r="C20" t="inlineStr">
        <is>
          <t>Колонка и микрофон (для ведущего)</t>
        </is>
      </c>
      <c r="D20" t="inlineStr">
        <is>
          <t>компл.</t>
        </is>
      </c>
      <c r="E20" t="n">
        <v>1</v>
      </c>
      <c r="F20" t="n">
        <v>1</v>
      </c>
      <c r="G20" t="n">
        <v>10000</v>
      </c>
      <c r="H20" s="4">
        <f>E20*F20*G20</f>
        <v/>
      </c>
    </row>
    <row r="21">
      <c r="B21" t="n">
        <v>12</v>
      </c>
      <c r="C21" t="inlineStr">
        <is>
          <t>Монтаж и демонтаж оборудования</t>
        </is>
      </c>
      <c r="D21" t="inlineStr">
        <is>
          <t>усл.</t>
        </is>
      </c>
      <c r="E21" t="n">
        <v>1</v>
      </c>
      <c r="F21" t="n">
        <v>1</v>
      </c>
      <c r="G21" t="n">
        <v>15000</v>
      </c>
      <c r="H21" s="4">
        <f>E21*F21*G21</f>
        <v/>
      </c>
    </row>
    <row r="22">
      <c r="B22" t="n">
        <v>13</v>
      </c>
      <c r="C22" t="inlineStr">
        <is>
          <t>Транспортные расходы (доставка реквизита)</t>
        </is>
      </c>
      <c r="D22" t="inlineStr">
        <is>
          <t>усл.</t>
        </is>
      </c>
      <c r="E22" t="n">
        <v>1</v>
      </c>
      <c r="F22" t="n">
        <v>1</v>
      </c>
      <c r="G22" t="n">
        <v>20000</v>
      </c>
      <c r="H22" s="4">
        <f>E22*F22*G22</f>
        <v/>
      </c>
    </row>
    <row r="23">
      <c r="B23" t="n">
        <v>14</v>
      </c>
      <c r="C23">
        <f>= МЕНЕДЖМЕНТ И КООРДИНАЦИЯ ==</f>
        <v/>
      </c>
      <c r="D23" t="inlineStr">
        <is>
          <t>усл.</t>
        </is>
      </c>
      <c r="E23" t="n">
        <v>1</v>
      </c>
      <c r="F23" t="n">
        <v>1</v>
      </c>
      <c r="G23" t="n">
        <v>0</v>
      </c>
      <c r="H23" s="4">
        <f>E23*F23*G23</f>
        <v/>
      </c>
    </row>
    <row r="24">
      <c r="B24" t="n">
        <v>15</v>
      </c>
      <c r="C24" t="inlineStr">
        <is>
          <t>Руководитель проекта (PM)</t>
        </is>
      </c>
      <c r="D24" t="inlineStr">
        <is>
          <t>чел.</t>
        </is>
      </c>
      <c r="E24" t="n">
        <v>1</v>
      </c>
      <c r="F24" t="n">
        <v>1</v>
      </c>
      <c r="G24" t="n">
        <v>30000</v>
      </c>
      <c r="H24" s="4">
        <f>E24*F24*G24</f>
        <v/>
      </c>
    </row>
    <row r="25">
      <c r="B25" t="n">
        <v>16</v>
      </c>
      <c r="C25" t="inlineStr">
        <is>
          <t>Координатор на площадке</t>
        </is>
      </c>
      <c r="D25" t="inlineStr">
        <is>
          <t>чел.</t>
        </is>
      </c>
      <c r="E25" t="n">
        <v>1</v>
      </c>
      <c r="F25" t="n">
        <v>1</v>
      </c>
      <c r="G25" t="n">
        <v>10000</v>
      </c>
      <c r="H25" s="4">
        <f>E25*F25*G25</f>
        <v/>
      </c>
    </row>
    <row r="26">
      <c r="B26" t="n">
        <v>17</v>
      </c>
      <c r="C26" t="inlineStr">
        <is>
          <t>Питание персонала (на команду)</t>
        </is>
      </c>
      <c r="D26" t="inlineStr">
        <is>
          <t>усл.</t>
        </is>
      </c>
      <c r="E26" t="n">
        <v>1</v>
      </c>
      <c r="F26" t="n">
        <v>1</v>
      </c>
      <c r="G26" t="n">
        <v>0</v>
      </c>
      <c r="H26" s="4">
        <f>E26*F26*G26</f>
        <v/>
      </c>
    </row>
    <row r="27">
      <c r="B27" s="5" t="inlineStr">
        <is>
          <t>###  ИТОГИ</t>
        </is>
      </c>
    </row>
    <row r="28">
      <c r="C28" s="2" t="inlineStr">
        <is>
          <t>Сумма услуг (S)</t>
        </is>
      </c>
      <c r="D28" t="inlineStr">
        <is>
          <t>усл.</t>
        </is>
      </c>
      <c r="E28" t="n">
        <v>1</v>
      </c>
      <c r="F28" t="n">
        <v>1</v>
      </c>
      <c r="G28" t="n">
        <v>240000</v>
      </c>
      <c r="H28" s="4">
        <f>E28*F28*G28</f>
        <v/>
      </c>
    </row>
    <row r="29">
      <c r="B29" t="n">
        <v>18</v>
      </c>
      <c r="C29" t="inlineStr">
        <is>
          <t>Агентское вознаграждение и Накладные расходы (10% от S)</t>
        </is>
      </c>
      <c r="D29" t="inlineStr">
        <is>
          <t>усл.</t>
        </is>
      </c>
      <c r="E29" t="n">
        <v>1</v>
      </c>
      <c r="F29" t="n">
        <v>1</v>
      </c>
      <c r="G29" t="n">
        <v>24000</v>
      </c>
      <c r="H29" s="4">
        <f>E29*F29*G29</f>
        <v/>
      </c>
    </row>
    <row r="30">
      <c r="C30" s="2" t="inlineStr">
        <is>
          <t>Общая сумма до налогов (S + 10%)</t>
        </is>
      </c>
      <c r="D30" t="inlineStr">
        <is>
          <t>усл.</t>
        </is>
      </c>
      <c r="E30" t="n">
        <v>1</v>
      </c>
      <c r="F30" t="n">
        <v>1</v>
      </c>
      <c r="G30" t="n">
        <v>264000</v>
      </c>
      <c r="H30" s="4">
        <f>E30*F30*G30</f>
        <v/>
      </c>
    </row>
    <row r="31">
      <c r="C31" s="2" t="inlineStr">
        <is>
          <t>Налоги (10% от оборота) (Расчет: (Сумма до налогов) / 0.9 - Сумма до налогов)</t>
        </is>
      </c>
      <c r="D31" t="inlineStr">
        <is>
          <t>усл.</t>
        </is>
      </c>
      <c r="E31" t="n">
        <v>1</v>
      </c>
      <c r="F31" t="n">
        <v>1</v>
      </c>
      <c r="G31" t="n">
        <v>29333</v>
      </c>
      <c r="H31" s="4">
        <f>E31*F31*G31</f>
        <v/>
      </c>
    </row>
    <row r="32">
      <c r="C32" s="2" t="inlineStr">
        <is>
          <t>ВСЕГО за тимбилдинг</t>
        </is>
      </c>
      <c r="D32" t="inlineStr">
        <is>
          <t>усл.</t>
        </is>
      </c>
      <c r="E32" t="n">
        <v>1</v>
      </c>
      <c r="F32" t="n">
        <v>1</v>
      </c>
      <c r="G32" t="n">
        <v>293333</v>
      </c>
      <c r="H32" s="4">
        <f>E32*F32*G32</f>
        <v/>
      </c>
    </row>
    <row r="34">
      <c r="G34" s="2" t="inlineStr">
        <is>
          <t>Сумма услуг:</t>
        </is>
      </c>
      <c r="H34" s="6">
        <f>SUM(H10,H11,H12,H13,H14,H15,H16,H17,H18,H19,H20,H21,H22,H23,H24,H25,H26,H29)</f>
        <v/>
      </c>
    </row>
    <row r="35">
      <c r="G35" t="inlineStr">
        <is>
          <t>Агентское вознаграждение (10%):</t>
        </is>
      </c>
      <c r="H35" s="4">
        <f>H34*0.1</f>
        <v/>
      </c>
    </row>
    <row r="36">
      <c r="G36" t="inlineStr">
        <is>
          <t>Налоги и сборы (6%):</t>
        </is>
      </c>
      <c r="H36" s="4">
        <f>(H34+H35)*0.06</f>
        <v/>
      </c>
    </row>
    <row r="37">
      <c r="G37" s="7" t="inlineStr">
        <is>
          <t>ИТОГО К ОПЛАТЕ:</t>
        </is>
      </c>
      <c r="H37" s="8">
        <f>SUM(H34:H36)</f>
        <v/>
      </c>
    </row>
  </sheetData>
  <mergeCells count="2">
    <mergeCell ref="B2:H2"/>
    <mergeCell ref="B27:H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2026-02-10T20:59:22Z</dcterms:created>
  <dcterms:modified xsi:type="dcterms:W3CDTF">2026-02-10T20:59:22Z</dcterms:modified>
</cp:coreProperties>
</file>