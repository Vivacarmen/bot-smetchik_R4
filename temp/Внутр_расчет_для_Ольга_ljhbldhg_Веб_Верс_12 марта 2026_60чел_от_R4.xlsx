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нутренний рас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E67E22"/>
        <bgColor rgb="00E67E22"/>
      </patternFill>
    </fill>
    <fill>
      <patternFill patternType="solid">
        <fgColor rgb="002C3E50"/>
        <bgColor rgb="002C3E50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3" fontId="0" fillId="0" borderId="0" pivotButton="0" quotePrefix="0" xfId="0"/>
    <xf numFmtId="0" fontId="2" fillId="4" borderId="0" pivotButton="0" quotePrefix="0" xfId="0"/>
    <xf numFmtId="3" fontId="2" fillId="0" borderId="0" pivotButton="0" quotePrefix="0" xfId="0"/>
    <xf numFmtId="10" fontId="2" fillId="0" borderId="0" pivotButton="0" quotePrefix="0" xfId="0"/>
    <xf numFmtId="0" fontId="4" fillId="0" borderId="0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1"/>
  <sheetViews>
    <sheetView workbookViewId="0">
      <selection activeCell="A1" sqref="A1"/>
    </sheetView>
  </sheetViews>
  <sheetFormatPr baseColWidth="8" defaultRowHeight="15"/>
  <cols>
    <col width="50" customWidth="1" min="3" max="3"/>
    <col width="15" customWidth="1" min="8" max="8"/>
    <col width="15" customWidth="1" min="11" max="11"/>
  </cols>
  <sheetData>
    <row r="2">
      <c r="B2" s="1" t="inlineStr">
        <is>
          <t>РАСЧЕТ ПРОЕКТА (ВНУТРЕННИЙ): R4</t>
        </is>
      </c>
    </row>
    <row r="4">
      <c r="B4" s="2" t="inlineStr">
        <is>
          <t>Заказчик:</t>
        </is>
      </c>
      <c r="C4" t="inlineStr">
        <is>
          <t>Ольга, @ljhbldhg (Веб Верс)</t>
        </is>
      </c>
    </row>
    <row r="5">
      <c r="B5" s="2" t="inlineStr">
        <is>
          <t>Локация:</t>
        </is>
      </c>
      <c r="C5" t="inlineStr">
        <is>
          <t>Курорт Завидово, отель Рэдиссон Завидово</t>
        </is>
      </c>
    </row>
    <row r="6">
      <c r="B6" s="2" t="inlineStr">
        <is>
          <t>Дата:</t>
        </is>
      </c>
      <c r="C6" t="inlineStr">
        <is>
          <t>12 марта 2026</t>
        </is>
      </c>
    </row>
    <row r="7">
      <c r="B7" s="2" t="inlineStr">
        <is>
          <t>Кол-во гостей:</t>
        </is>
      </c>
      <c r="C7" t="inlineStr">
        <is>
          <t>60</t>
        </is>
      </c>
    </row>
    <row r="9">
      <c r="B9" s="3" t="inlineStr">
        <is>
          <t>№</t>
        </is>
      </c>
      <c r="C9" s="3" t="inlineStr">
        <is>
          <t>Наименование</t>
        </is>
      </c>
      <c r="D9" s="3" t="inlineStr">
        <is>
          <t>Ед.</t>
        </is>
      </c>
      <c r="E9" s="3" t="inlineStr">
        <is>
          <t>Кол-во</t>
        </is>
      </c>
      <c r="F9" s="3" t="inlineStr">
        <is>
          <t>Дни/Часы</t>
        </is>
      </c>
      <c r="G9" s="3" t="inlineStr">
        <is>
          <t>Цена</t>
        </is>
      </c>
      <c r="H9" s="3" t="inlineStr">
        <is>
          <t>Сумма (Выручка)</t>
        </is>
      </c>
      <c r="I9" s="3" t="inlineStr">
        <is>
          <t>Себест. ед.</t>
        </is>
      </c>
      <c r="J9" s="3" t="inlineStr">
        <is>
          <t>Итого Себест.</t>
        </is>
      </c>
      <c r="K9" s="3" t="inlineStr">
        <is>
          <t>Маржа</t>
        </is>
      </c>
    </row>
    <row r="10">
      <c r="B10" t="n">
        <v>1</v>
      </c>
      <c r="C10" t="inlineStr"/>
      <c r="D10" t="inlineStr">
        <is>
          <t>**== ПРОГРАММА ==**</t>
        </is>
      </c>
      <c r="E10" t="n">
        <v>0</v>
      </c>
      <c r="F10" t="n">
        <v>0</v>
      </c>
      <c r="G10" t="n">
        <v>0</v>
      </c>
      <c r="H10" s="4">
        <f>E10*F10*G10</f>
        <v/>
      </c>
      <c r="I10" s="4" t="n">
        <v>0</v>
      </c>
      <c r="J10" s="4">
        <f>E10*F10*I10</f>
        <v/>
      </c>
      <c r="K10" s="4">
        <f>H10-J10</f>
        <v/>
      </c>
    </row>
    <row r="11">
      <c r="B11" t="n">
        <v>2</v>
      </c>
      <c r="C11" t="inlineStr"/>
      <c r="D11" t="inlineStr">
        <is>
          <t>**== ПЛОЩАДКА И АДМИНИСТРАТИВНЫЕ РАСХОДЫ ==**</t>
        </is>
      </c>
      <c r="E11" t="n">
        <v>0</v>
      </c>
      <c r="F11" t="n">
        <v>0</v>
      </c>
      <c r="G11" t="n">
        <v>0</v>
      </c>
      <c r="H11" s="4">
        <f>E11*F11*G11</f>
        <v/>
      </c>
      <c r="I11" s="4" t="n">
        <v>0</v>
      </c>
      <c r="J11" s="4">
        <f>E11*F11*I11</f>
        <v/>
      </c>
      <c r="K11" s="4">
        <f>H11-J11</f>
        <v/>
      </c>
    </row>
    <row r="12">
      <c r="B12" t="n">
        <v>3</v>
      </c>
      <c r="C12" t="inlineStr"/>
      <c r="D12" t="inlineStr">
        <is>
          <t>**== ПЕРСОНАЛ И КООРДИНАЦИЯ ==**</t>
        </is>
      </c>
      <c r="E12" t="n">
        <v>0</v>
      </c>
      <c r="F12" t="n">
        <v>0</v>
      </c>
      <c r="G12" t="n">
        <v>0</v>
      </c>
      <c r="H12" s="4">
        <f>E12*F12*G12</f>
        <v/>
      </c>
      <c r="I12" s="4" t="n">
        <v>0</v>
      </c>
      <c r="J12" s="4">
        <f>E12*F12*I12</f>
        <v/>
      </c>
      <c r="K12" s="4">
        <f>H12-J12</f>
        <v/>
      </c>
    </row>
    <row r="13">
      <c r="B13" t="n">
        <v>4</v>
      </c>
      <c r="C13" t="inlineStr"/>
      <c r="D13" t="inlineStr">
        <is>
          <t>**== ТЕХНИЧЕСКОЕ ОБЕСПЕЧЕНИЕ И ЛОГИСТИКА ==**</t>
        </is>
      </c>
      <c r="E13" t="n">
        <v>0</v>
      </c>
      <c r="F13" t="n">
        <v>0</v>
      </c>
      <c r="G13" t="n">
        <v>0</v>
      </c>
      <c r="H13" s="4">
        <f>E13*F13*G13</f>
        <v/>
      </c>
      <c r="I13" s="4" t="n">
        <v>0</v>
      </c>
      <c r="J13" s="4">
        <f>E13*F13*I13</f>
        <v/>
      </c>
      <c r="K13" s="4">
        <f>H13-J13</f>
        <v/>
      </c>
    </row>
    <row r="14">
      <c r="B14" t="n">
        <v>5</v>
      </c>
      <c r="C14" t="inlineStr"/>
      <c r="D14" t="inlineStr"/>
      <c r="E14" t="n">
        <v>0</v>
      </c>
      <c r="F14" t="n">
        <v>0</v>
      </c>
      <c r="G14" t="n">
        <v>0</v>
      </c>
      <c r="H14" s="4">
        <f>E14*F14*G14</f>
        <v/>
      </c>
      <c r="I14" s="4" t="n">
        <v>0</v>
      </c>
      <c r="J14" s="4">
        <f>E14*F14*I14</f>
        <v/>
      </c>
      <c r="K14" s="4">
        <f>H14-J14</f>
        <v/>
      </c>
    </row>
    <row r="15">
      <c r="B15" s="5" t="inlineStr">
        <is>
          <t>##  ИТОГИ</t>
        </is>
      </c>
    </row>
    <row r="16">
      <c r="B16" t="n">
        <v>6</v>
      </c>
      <c r="C16" t="inlineStr"/>
      <c r="D16" t="inlineStr"/>
      <c r="E16" t="n">
        <v>0</v>
      </c>
      <c r="F16" t="n">
        <v>0</v>
      </c>
      <c r="G16" t="n">
        <v>0</v>
      </c>
      <c r="H16" s="4">
        <f>E16*F16*G16</f>
        <v/>
      </c>
      <c r="I16" s="4" t="n">
        <v>0</v>
      </c>
      <c r="J16" s="4">
        <f>E16*F16*I16</f>
        <v/>
      </c>
      <c r="K16" s="4">
        <f>H16-J16</f>
        <v/>
      </c>
    </row>
    <row r="17">
      <c r="B17" t="n">
        <v>7</v>
      </c>
      <c r="C17" t="inlineStr"/>
      <c r="D17" t="inlineStr">
        <is>
          <t>**Всего за тимбилдинг**</t>
        </is>
      </c>
    </row>
    <row r="18">
      <c r="G18" s="2" t="inlineStr">
        <is>
          <t>Сумма услуг:</t>
        </is>
      </c>
      <c r="H18" s="6">
        <f>SUM(H10:H16)</f>
        <v/>
      </c>
      <c r="J18" s="2" t="inlineStr">
        <is>
          <t>Общая себестоимость:</t>
        </is>
      </c>
      <c r="K18" s="6">
        <f>SUM(J10:J16)</f>
        <v/>
      </c>
    </row>
    <row r="19">
      <c r="G19" t="inlineStr">
        <is>
          <t>Агентское вознаграждение (10%):</t>
        </is>
      </c>
      <c r="H19" s="4">
        <f>H18*0.1</f>
        <v/>
      </c>
      <c r="J19" s="2" t="inlineStr">
        <is>
          <t>Чистая маржа:</t>
        </is>
      </c>
      <c r="K19" s="6">
        <f>H21-K18-H20</f>
        <v/>
      </c>
    </row>
    <row r="20">
      <c r="G20" t="inlineStr">
        <is>
          <t>Налоги и сборы (6%):</t>
        </is>
      </c>
      <c r="H20" s="4">
        <f>(H18+H19)*0.06</f>
        <v/>
      </c>
      <c r="J20" s="2" t="inlineStr">
        <is>
          <t>Рентабельность (%):</t>
        </is>
      </c>
      <c r="K20" s="7">
        <f>K19/H21</f>
        <v/>
      </c>
    </row>
    <row r="21">
      <c r="G21" s="8" t="inlineStr">
        <is>
          <t>ИТОГО К ОПЛАТЕ:</t>
        </is>
      </c>
      <c r="H21" s="9">
        <f>SUM(H18:H20)</f>
        <v/>
      </c>
    </row>
  </sheetData>
  <mergeCells count="2">
    <mergeCell ref="B15:K15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2026-02-10T20:37:57Z</dcterms:created>
  <dcterms:modified xsi:type="dcterms:W3CDTF">2026-02-10T20:37:57Z</dcterms:modified>
</cp:coreProperties>
</file>