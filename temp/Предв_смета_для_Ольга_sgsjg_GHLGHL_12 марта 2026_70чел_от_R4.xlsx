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3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B2" s="1" t="inlineStr">
        <is>
          <t>КОММЕРЧЕСКОЕ ПРЕДЛОЖЕНИЕ: R4</t>
        </is>
      </c>
    </row>
    <row r="4">
      <c r="B4" s="2" t="inlineStr">
        <is>
          <t>Заказчик:</t>
        </is>
      </c>
      <c r="C4" t="inlineStr">
        <is>
          <t>Ольга, @sg;sj;g (GHLGHL)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12 марта 2026</t>
        </is>
      </c>
    </row>
    <row r="7">
      <c r="B7" s="2" t="inlineStr">
        <is>
          <t>Кол-во гостей:</t>
        </is>
      </c>
      <c r="C7" t="inlineStr">
        <is>
          <t>70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>
        <f>= АРЕНДА И ЛОГИСТИКА ==</f>
        <v/>
      </c>
      <c r="D10" t="inlineStr">
        <is>
          <t>усл.</t>
        </is>
      </c>
      <c r="E10" t="n">
        <v>1</v>
      </c>
      <c r="F10" t="n">
        <v>1</v>
      </c>
      <c r="G10" t="n">
        <v>0</v>
      </c>
      <c r="H10" s="4">
        <f>E10*F10*G10</f>
        <v/>
      </c>
    </row>
    <row r="11">
      <c r="B11" t="n">
        <v>2</v>
      </c>
      <c r="C11" t="inlineStr">
        <is>
          <t>Аренда территории "Лесная поляна" (Пакет)</t>
        </is>
      </c>
      <c r="D11" t="inlineStr">
        <is>
          <t>усл.</t>
        </is>
      </c>
      <c r="E11" t="n">
        <v>1</v>
      </c>
      <c r="F11" t="n">
        <v>1</v>
      </c>
      <c r="G11" t="n">
        <v>51000</v>
      </c>
      <c r="H11" s="4">
        <f>E11*F11*G11</f>
        <v/>
      </c>
    </row>
    <row r="12">
      <c r="B12" t="n">
        <v>3</v>
      </c>
      <c r="C12" t="inlineStr">
        <is>
          <t>Расчет: 30 000 руб. + 70 чел.  300 руб./чел.</t>
        </is>
      </c>
      <c r="D12" t="inlineStr">
        <is>
          <t>усл.</t>
        </is>
      </c>
      <c r="E12" t="n">
        <v>1</v>
      </c>
      <c r="F12" t="n">
        <v>1</v>
      </c>
      <c r="G12" t="n">
        <v>0</v>
      </c>
      <c r="H12" s="4">
        <f>E12*F12*G12</f>
        <v/>
      </c>
    </row>
    <row r="13">
      <c r="B13" t="n">
        <v>4</v>
      </c>
      <c r="C13" t="inlineStr">
        <is>
          <t>Транспортные расходы (Доставка оборудования/персонала)</t>
        </is>
      </c>
      <c r="D13" t="inlineStr">
        <is>
          <t>усл.</t>
        </is>
      </c>
      <c r="E13" t="n">
        <v>1</v>
      </c>
      <c r="F13" t="n">
        <v>1</v>
      </c>
      <c r="G13" t="n">
        <v>20000</v>
      </c>
      <c r="H13" s="4">
        <f>E13*F13*G13</f>
        <v/>
      </c>
    </row>
    <row r="14">
      <c r="B14" t="n">
        <v>5</v>
      </c>
      <c r="C14">
        <f>= ПРОГРАММА И ПЕРСОНАЛ ==</f>
        <v/>
      </c>
      <c r="D14" t="inlineStr">
        <is>
          <t>усл.</t>
        </is>
      </c>
      <c r="E14" t="n">
        <v>1</v>
      </c>
      <c r="F14" t="n">
        <v>1</v>
      </c>
      <c r="G14" t="n">
        <v>0</v>
      </c>
      <c r="H14" s="4">
        <f>E14*F14*G14</f>
        <v/>
      </c>
    </row>
    <row r="15">
      <c r="B15" t="n">
        <v>6</v>
      </c>
      <c r="C15" t="inlineStr">
        <is>
          <t>Ведущий мероприятия</t>
        </is>
      </c>
      <c r="D15" t="inlineStr">
        <is>
          <t>чел.</t>
        </is>
      </c>
      <c r="E15" t="n">
        <v>1</v>
      </c>
      <c r="F15" t="n">
        <v>1</v>
      </c>
      <c r="G15" t="n">
        <v>30000</v>
      </c>
      <c r="H15" s="4">
        <f>E15*F15*G15</f>
        <v/>
      </c>
    </row>
    <row r="16">
      <c r="B16" t="n">
        <v>7</v>
      </c>
      <c r="C16" t="inlineStr">
        <is>
          <t>Команда тимлидеров (70 чел / 10 = 7 чел.)</t>
        </is>
      </c>
      <c r="D16" t="inlineStr">
        <is>
          <t>чел.</t>
        </is>
      </c>
      <c r="E16" t="n">
        <v>1</v>
      </c>
      <c r="F16" t="n">
        <v>7</v>
      </c>
      <c r="G16" t="n">
        <v>12000</v>
      </c>
      <c r="H16" s="4">
        <f>E16*F16*G16</f>
        <v/>
      </c>
    </row>
    <row r="17">
      <c r="B17" t="n">
        <v>8</v>
      </c>
      <c r="C17" t="inlineStr">
        <is>
          <t>Реквизит для программы "Поиск сокровищ"</t>
        </is>
      </c>
      <c r="D17" t="inlineStr">
        <is>
          <t>компл.</t>
        </is>
      </c>
      <c r="E17" t="n">
        <v>1</v>
      </c>
      <c r="F17" t="n">
        <v>1</v>
      </c>
      <c r="G17" t="n">
        <v>50000</v>
      </c>
      <c r="H17" s="4">
        <f>E17*F17*G17</f>
        <v/>
      </c>
    </row>
    <row r="18">
      <c r="B18" t="n">
        <v>9</v>
      </c>
      <c r="C18" t="inlineStr">
        <is>
          <t>Распечатка карты сокровищ (Расходные материалы)</t>
        </is>
      </c>
      <c r="D18" t="inlineStr">
        <is>
          <t>усл.</t>
        </is>
      </c>
      <c r="E18" t="n">
        <v>1</v>
      </c>
      <c r="F18" t="n">
        <v>1</v>
      </c>
      <c r="G18" t="n">
        <v>0</v>
      </c>
      <c r="H18" s="4">
        <f>E18*F18*G18</f>
        <v/>
      </c>
    </row>
    <row r="19">
      <c r="B19" t="n">
        <v>10</v>
      </c>
      <c r="C19" t="inlineStr">
        <is>
          <t>Приз для команды-победителя</t>
        </is>
      </c>
      <c r="D19" t="inlineStr">
        <is>
          <t>шт.</t>
        </is>
      </c>
      <c r="E19" t="n">
        <v>1</v>
      </c>
      <c r="F19" t="n">
        <v>1</v>
      </c>
      <c r="G19" t="n">
        <v>0</v>
      </c>
      <c r="H19" s="4">
        <f>E19*F19*G19</f>
        <v/>
      </c>
    </row>
    <row r="20">
      <c r="B20" t="n">
        <v>11</v>
      </c>
      <c r="C20">
        <f>= ТЕХНИЧЕСКОЕ ОБЕСПЕЧЕНИЕ И МОНТАЖ ==</f>
        <v/>
      </c>
      <c r="D20" t="inlineStr">
        <is>
          <t>усл.</t>
        </is>
      </c>
      <c r="E20" t="n">
        <v>1</v>
      </c>
      <c r="F20" t="n">
        <v>1</v>
      </c>
      <c r="G20" t="n">
        <v>0</v>
      </c>
      <c r="H20" s="4">
        <f>E20*F20*G20</f>
        <v/>
      </c>
    </row>
    <row r="21">
      <c r="B21" t="n">
        <v>12</v>
      </c>
      <c r="C21" t="inlineStr">
        <is>
          <t>Звуковое оборудование (Колонка + микрофон)</t>
        </is>
      </c>
      <c r="D21" t="inlineStr">
        <is>
          <t>компл.</t>
        </is>
      </c>
      <c r="E21" t="n">
        <v>1</v>
      </c>
      <c r="F21" t="n">
        <v>1</v>
      </c>
      <c r="G21" t="n">
        <v>10000</v>
      </c>
      <c r="H21" s="4">
        <f>E21*F21*G21</f>
        <v/>
      </c>
    </row>
    <row r="22">
      <c r="B22" t="n">
        <v>13</v>
      </c>
      <c r="C22" t="inlineStr">
        <is>
          <t>Монтаж и демонтаж оборудования/реквизита</t>
        </is>
      </c>
      <c r="D22" t="inlineStr">
        <is>
          <t>усл.</t>
        </is>
      </c>
      <c r="E22" t="n">
        <v>1</v>
      </c>
      <c r="F22" t="n">
        <v>1</v>
      </c>
      <c r="G22" t="n">
        <v>15000</v>
      </c>
      <c r="H22" s="4">
        <f>E22*F22*G22</f>
        <v/>
      </c>
    </row>
    <row r="23">
      <c r="B23" t="n">
        <v>14</v>
      </c>
      <c r="C23">
        <f>= УПРАВЛЕНИЕ ПРОЕКТОМ ==</f>
        <v/>
      </c>
      <c r="D23" t="inlineStr">
        <is>
          <t>усл.</t>
        </is>
      </c>
      <c r="E23" t="n">
        <v>1</v>
      </c>
      <c r="F23" t="n">
        <v>1</v>
      </c>
      <c r="G23" t="n">
        <v>0</v>
      </c>
      <c r="H23" s="4">
        <f>E23*F23*G23</f>
        <v/>
      </c>
    </row>
    <row r="24">
      <c r="B24" t="n">
        <v>15</v>
      </c>
      <c r="C24" t="inlineStr">
        <is>
          <t>Руководитель проекта (Проектный менеджмент)</t>
        </is>
      </c>
      <c r="D24" t="inlineStr">
        <is>
          <t>чел.</t>
        </is>
      </c>
      <c r="E24" t="n">
        <v>1</v>
      </c>
      <c r="F24" t="n">
        <v>1</v>
      </c>
      <c r="G24" t="n">
        <v>30000</v>
      </c>
      <c r="H24" s="4">
        <f>E24*F24*G24</f>
        <v/>
      </c>
    </row>
    <row r="25">
      <c r="B25" t="n">
        <v>16</v>
      </c>
      <c r="C25" t="inlineStr">
        <is>
          <t>Координатор на площадке</t>
        </is>
      </c>
      <c r="D25" t="inlineStr">
        <is>
          <t>чел.</t>
        </is>
      </c>
      <c r="E25" t="n">
        <v>1</v>
      </c>
      <c r="F25" t="n">
        <v>1</v>
      </c>
      <c r="G25" t="n">
        <v>10000</v>
      </c>
      <c r="H25" s="4">
        <f>E25*F25*G25</f>
        <v/>
      </c>
    </row>
    <row r="26">
      <c r="B26" t="n">
        <v>17</v>
      </c>
      <c r="C26" t="inlineStr">
        <is>
          <t>Питание персонала (Обед/перекус)</t>
        </is>
      </c>
      <c r="D26" t="inlineStr">
        <is>
          <t>усл.</t>
        </is>
      </c>
      <c r="E26" t="n">
        <v>1</v>
      </c>
      <c r="F26" t="n">
        <v>1</v>
      </c>
      <c r="G26" t="n">
        <v>0</v>
      </c>
      <c r="H26" s="4">
        <f>E26*F26*G26</f>
        <v/>
      </c>
    </row>
    <row r="27">
      <c r="B27" t="n">
        <v>18</v>
      </c>
      <c r="C27" t="inlineStr">
        <is>
          <t>СУММА УСЛУГ (БЕЗ КОМИССИИ И НАЛОГОВ)</t>
        </is>
      </c>
      <c r="D27" t="inlineStr">
        <is>
          <t>усл.</t>
        </is>
      </c>
      <c r="E27" t="n">
        <v>1</v>
      </c>
      <c r="F27" t="n">
        <v>1</v>
      </c>
      <c r="G27" t="n">
        <v>306000</v>
      </c>
      <c r="H27" s="4">
        <f>E27*F27*G27</f>
        <v/>
      </c>
    </row>
    <row r="28">
      <c r="B28" s="5" t="inlineStr">
        <is>
          <t>###  ИТОГИ</t>
        </is>
      </c>
    </row>
    <row r="29">
      <c r="B29" t="n">
        <v>19</v>
      </c>
      <c r="C29" t="inlineStr">
        <is>
          <t>СУММА УСЛУГ</t>
        </is>
      </c>
      <c r="D29" t="inlineStr">
        <is>
          <t>усл.</t>
        </is>
      </c>
      <c r="E29" t="n">
        <v>1</v>
      </c>
      <c r="F29" t="n">
        <v>1</v>
      </c>
      <c r="G29" t="n">
        <v>306000</v>
      </c>
      <c r="H29" s="4">
        <f>E29*F29*G29</f>
        <v/>
      </c>
    </row>
    <row r="30">
      <c r="B30" t="n">
        <v>20</v>
      </c>
      <c r="C30" t="inlineStr">
        <is>
          <t>Агентское вознаграждение 10%</t>
        </is>
      </c>
      <c r="D30" t="inlineStr">
        <is>
          <t>усл.</t>
        </is>
      </c>
      <c r="E30" t="n">
        <v>1</v>
      </c>
      <c r="F30" t="n">
        <v>1</v>
      </c>
      <c r="G30" t="n">
        <v>30600</v>
      </c>
      <c r="H30" s="4">
        <f>E30*F30*G30</f>
        <v/>
      </c>
    </row>
    <row r="31">
      <c r="B31" t="n">
        <v>21</v>
      </c>
      <c r="C31" t="inlineStr">
        <is>
          <t>(Расчет: 306 000  0.10)</t>
        </is>
      </c>
      <c r="D31" t="inlineStr">
        <is>
          <t>усл.</t>
        </is>
      </c>
      <c r="E31" t="n">
        <v>1</v>
      </c>
      <c r="F31" t="n">
        <v>1</v>
      </c>
      <c r="G31" t="n">
        <v>0</v>
      </c>
      <c r="H31" s="4">
        <f>E31*F31*G31</f>
        <v/>
      </c>
    </row>
    <row r="32">
      <c r="B32" t="n">
        <v>22</v>
      </c>
      <c r="C32" t="inlineStr">
        <is>
          <t>Налоги (10% от оборота)</t>
        </is>
      </c>
      <c r="D32" t="inlineStr">
        <is>
          <t>усл.</t>
        </is>
      </c>
      <c r="E32" t="n">
        <v>1</v>
      </c>
      <c r="F32" t="n">
        <v>1</v>
      </c>
      <c r="G32" t="n">
        <v>37400</v>
      </c>
      <c r="H32" s="4">
        <f>E32*F32*G32</f>
        <v/>
      </c>
    </row>
    <row r="33">
      <c r="B33" t="n">
        <v>23</v>
      </c>
      <c r="C33" t="inlineStr">
        <is>
          <t>(Расчет: (306 000 + 30 600) / 0.9 = 374 000. Налог: 374 000  0.10)</t>
        </is>
      </c>
      <c r="D33" t="inlineStr">
        <is>
          <t>усл.</t>
        </is>
      </c>
      <c r="E33" t="n">
        <v>1</v>
      </c>
      <c r="F33" t="n">
        <v>1</v>
      </c>
      <c r="G33" t="n">
        <v>0</v>
      </c>
      <c r="H33" s="4">
        <f>E33*F33*G33</f>
        <v/>
      </c>
    </row>
    <row r="34">
      <c r="B34" t="n">
        <v>24</v>
      </c>
      <c r="C34" t="inlineStr">
        <is>
          <t>Всего за тимбилдинг (КЛИЕНТ)</t>
        </is>
      </c>
      <c r="D34" t="inlineStr">
        <is>
          <t>усл.</t>
        </is>
      </c>
      <c r="E34" t="n">
        <v>1</v>
      </c>
      <c r="F34" t="n">
        <v>1</v>
      </c>
      <c r="G34" t="n">
        <v>374000</v>
      </c>
      <c r="H34" s="4">
        <f>E34*F34*G34</f>
        <v/>
      </c>
    </row>
    <row r="36">
      <c r="G36" s="2" t="inlineStr">
        <is>
          <t>Сумма услуг:</t>
        </is>
      </c>
      <c r="H36" s="6">
        <f>SUM(H10:H34)</f>
        <v/>
      </c>
    </row>
    <row r="37">
      <c r="G37" t="inlineStr">
        <is>
          <t>Агентское вознаграждение (10%):</t>
        </is>
      </c>
      <c r="H37" s="4">
        <f>H36*0.1</f>
        <v/>
      </c>
    </row>
    <row r="38">
      <c r="G38" t="inlineStr">
        <is>
          <t>Налоги и сборы (6%):</t>
        </is>
      </c>
      <c r="H38" s="4">
        <f>(H36+H37)*0.06</f>
        <v/>
      </c>
    </row>
    <row r="39">
      <c r="G39" s="7" t="inlineStr">
        <is>
          <t>ИТОГО К ОПЛАТЕ:</t>
        </is>
      </c>
      <c r="H39" s="8">
        <f>SUM(H36:H38)</f>
        <v/>
      </c>
    </row>
  </sheetData>
  <mergeCells count="2">
    <mergeCell ref="B2:H2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2026-02-10T20:41:13Z</dcterms:created>
  <dcterms:modified xsi:type="dcterms:W3CDTF">2026-02-10T20:41:13Z</dcterms:modified>
</cp:coreProperties>
</file>