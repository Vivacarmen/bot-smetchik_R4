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Марина, 396359769 (Лоад)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 t="inlineStr">
        <is>
          <t>Аренда территории Лесная поляна (фиксированная часть)</t>
        </is>
      </c>
      <c r="D10" t="inlineStr">
        <is>
          <t>усл.</t>
        </is>
      </c>
      <c r="E10" t="n">
        <v>1</v>
      </c>
      <c r="F10" t="n">
        <v>1</v>
      </c>
      <c r="G10" s="4" t="n">
        <v>30000</v>
      </c>
      <c r="H10" s="4">
        <f>E10*F10*G10</f>
        <v/>
      </c>
      <c r="I10" s="4" t="n">
        <v>30000</v>
      </c>
      <c r="J10" s="4">
        <f>E10*F10*I10</f>
        <v/>
      </c>
      <c r="K10" s="4">
        <f>H10-J10</f>
        <v/>
      </c>
    </row>
    <row r="11">
      <c r="B11" t="n">
        <v>2</v>
      </c>
      <c r="C11" t="inlineStr">
        <is>
          <t>Сбор за использование территории (300 руб/чел)</t>
        </is>
      </c>
      <c r="D11" t="inlineStr">
        <is>
          <t>чел.</t>
        </is>
      </c>
      <c r="E11" t="n">
        <v>25</v>
      </c>
      <c r="F11" t="n">
        <v>1</v>
      </c>
      <c r="G11" s="4" t="n">
        <v>300</v>
      </c>
      <c r="H11" s="4">
        <f>E11*F11*G11</f>
        <v/>
      </c>
      <c r="I11" s="4" t="n">
        <v>300</v>
      </c>
      <c r="J11" s="4">
        <f>E11*F11*I11</f>
        <v/>
      </c>
      <c r="K11" s="4">
        <f>H11-J11</f>
        <v/>
      </c>
    </row>
    <row r="12">
      <c r="C12" s="2" t="inlineStr">
        <is>
          <t>ИТОГО: ЛОКАЦИЯ</t>
        </is>
      </c>
      <c r="D12" t="inlineStr">
        <is>
          <t>37500</t>
        </is>
      </c>
      <c r="E12" t="n">
        <v>37500</v>
      </c>
      <c r="F12" t="n">
        <v>0</v>
      </c>
      <c r="G12" s="4" t="n">
        <v>0</v>
      </c>
      <c r="H12" s="4">
        <f>E12*F12*G12</f>
        <v/>
      </c>
      <c r="I12" s="4" t="n">
        <v>0</v>
      </c>
      <c r="J12" s="4">
        <f>E12*F12*I12</f>
        <v/>
      </c>
      <c r="K12" s="4">
        <f>H12-J12</f>
        <v/>
      </c>
    </row>
    <row r="13">
      <c r="B13" t="n">
        <v>3</v>
      </c>
      <c r="C13" t="inlineStr">
        <is>
          <t>Ведущий программы (Корп. приключения)</t>
        </is>
      </c>
      <c r="D13" t="inlineStr">
        <is>
          <t>чел.</t>
        </is>
      </c>
      <c r="E13" t="n">
        <v>1</v>
      </c>
      <c r="F13" t="n">
        <v>1</v>
      </c>
      <c r="G13" s="4" t="n">
        <v>30000</v>
      </c>
      <c r="H13" s="4">
        <f>E13*F13*G13</f>
        <v/>
      </c>
      <c r="I13" s="4" t="n">
        <v>20000</v>
      </c>
      <c r="J13" s="4">
        <f>E13*F13*I13</f>
        <v/>
      </c>
      <c r="K13" s="4">
        <f>H13-J13</f>
        <v/>
      </c>
    </row>
    <row r="14">
      <c r="B14" t="n">
        <v>4</v>
      </c>
      <c r="C14" t="inlineStr">
        <is>
          <t>Реквизит для тимбилдинга</t>
        </is>
      </c>
      <c r="D14" t="inlineStr">
        <is>
          <t>компл.</t>
        </is>
      </c>
      <c r="E14" t="n">
        <v>1</v>
      </c>
      <c r="F14" t="n">
        <v>1</v>
      </c>
      <c r="G14" s="4" t="n">
        <v>50000</v>
      </c>
      <c r="H14" s="4">
        <f>E14*F14*G14</f>
        <v/>
      </c>
      <c r="I14" s="4" t="n">
        <v>1000</v>
      </c>
      <c r="J14" s="4">
        <f>E14*F14*I14</f>
        <v/>
      </c>
      <c r="K14" s="4">
        <f>H14-J14</f>
        <v/>
      </c>
    </row>
    <row r="15">
      <c r="B15" t="n">
        <v>5</v>
      </c>
      <c r="C15" t="inlineStr">
        <is>
          <t>Тимлидеры (25 чел / 10 = 3 чел)</t>
        </is>
      </c>
      <c r="D15" t="inlineStr">
        <is>
          <t>чел.</t>
        </is>
      </c>
      <c r="E15" t="n">
        <v>3</v>
      </c>
      <c r="F15" t="n">
        <v>1</v>
      </c>
      <c r="G15" s="4" t="n">
        <v>12000</v>
      </c>
      <c r="H15" s="4">
        <f>E15*F15*G15</f>
        <v/>
      </c>
      <c r="I15" s="4" t="n">
        <v>7500</v>
      </c>
      <c r="J15" s="4">
        <f>E15*F15*I15</f>
        <v/>
      </c>
      <c r="K15" s="4">
        <f>H15-J15</f>
        <v/>
      </c>
    </row>
    <row r="16">
      <c r="B16" t="n">
        <v>6</v>
      </c>
      <c r="C16" t="inlineStr">
        <is>
          <t>Приз для команды-победителя</t>
        </is>
      </c>
      <c r="D16" t="inlineStr">
        <is>
          <t>шт.</t>
        </is>
      </c>
      <c r="E16" t="n">
        <v>1</v>
      </c>
      <c r="F16" t="n">
        <v>1</v>
      </c>
      <c r="G16" s="4" t="n">
        <v>0</v>
      </c>
      <c r="H16" s="4">
        <f>E16*F16*G16</f>
        <v/>
      </c>
      <c r="I16" s="4" t="n">
        <v>1000</v>
      </c>
      <c r="J16" s="4">
        <f>E16*F16*I16</f>
        <v/>
      </c>
      <c r="K16" s="4">
        <f>H16-J16</f>
        <v/>
      </c>
    </row>
    <row r="17">
      <c r="B17" t="n">
        <v>7</v>
      </c>
      <c r="C17" t="inlineStr">
        <is>
          <t>Распечатка карты сокровищ</t>
        </is>
      </c>
      <c r="D17" t="inlineStr">
        <is>
          <t>шт.</t>
        </is>
      </c>
      <c r="E17" t="n">
        <v>1</v>
      </c>
      <c r="F17" t="n">
        <v>1</v>
      </c>
      <c r="G17" s="4" t="n">
        <v>0</v>
      </c>
      <c r="H17" s="4">
        <f>E17*F17*G17</f>
        <v/>
      </c>
      <c r="I17" s="4" t="n">
        <v>300</v>
      </c>
      <c r="J17" s="4">
        <f>E17*F17*I17</f>
        <v/>
      </c>
      <c r="K17" s="4">
        <f>H17-J17</f>
        <v/>
      </c>
    </row>
    <row r="18">
      <c r="C18" s="2" t="inlineStr">
        <is>
          <t>ИТОГО: ПРОГРАММА</t>
        </is>
      </c>
      <c r="D18" t="inlineStr">
        <is>
          <t>116000</t>
        </is>
      </c>
      <c r="E18" t="n">
        <v>44800</v>
      </c>
      <c r="F18" t="n">
        <v>0</v>
      </c>
      <c r="G18" s="4" t="n">
        <v>0</v>
      </c>
      <c r="H18" s="4">
        <f>E18*F18*G18</f>
        <v/>
      </c>
      <c r="I18" s="4" t="n">
        <v>0</v>
      </c>
      <c r="J18" s="4">
        <f>E18*F18*I18</f>
        <v/>
      </c>
      <c r="K18" s="4">
        <f>H18-J18</f>
        <v/>
      </c>
    </row>
    <row r="19">
      <c r="B19" t="n">
        <v>8</v>
      </c>
      <c r="C19" t="inlineStr">
        <is>
          <t>Комплект звукового оборудования (колонка и микрофон)</t>
        </is>
      </c>
      <c r="D19" t="inlineStr">
        <is>
          <t>компл.</t>
        </is>
      </c>
      <c r="E19" t="n">
        <v>1</v>
      </c>
      <c r="F19" t="n">
        <v>1</v>
      </c>
      <c r="G19" s="4" t="n">
        <v>10000</v>
      </c>
      <c r="H19" s="4">
        <f>E19*F19*G19</f>
        <v/>
      </c>
      <c r="I19" s="4" t="n">
        <v>0</v>
      </c>
      <c r="J19" s="4">
        <f>E19*F19*I19</f>
        <v/>
      </c>
      <c r="K19" s="4">
        <f>H19-J19</f>
        <v/>
      </c>
    </row>
    <row r="20">
      <c r="B20" t="n">
        <v>9</v>
      </c>
      <c r="C20" t="inlineStr">
        <is>
          <t>Монтаж и демонтаж оборудования/реквизита</t>
        </is>
      </c>
      <c r="D20" t="inlineStr">
        <is>
          <t>усл.</t>
        </is>
      </c>
      <c r="E20" t="n">
        <v>1</v>
      </c>
      <c r="F20" t="n">
        <v>1</v>
      </c>
      <c r="G20" s="4" t="n">
        <v>15000</v>
      </c>
      <c r="H20" s="4">
        <f>E20*F20*G20</f>
        <v/>
      </c>
      <c r="I20" s="4" t="n">
        <v>10000</v>
      </c>
      <c r="J20" s="4">
        <f>E20*F20*I20</f>
        <v/>
      </c>
      <c r="K20" s="4">
        <f>H20-J20</f>
        <v/>
      </c>
    </row>
    <row r="21">
      <c r="B21" t="n">
        <v>10</v>
      </c>
      <c r="C21" t="inlineStr">
        <is>
          <t>Транспортные расходы (доставка персонала и реквизита)</t>
        </is>
      </c>
      <c r="D21" t="inlineStr">
        <is>
          <t>усл.</t>
        </is>
      </c>
      <c r="E21" t="n">
        <v>1</v>
      </c>
      <c r="F21" t="n">
        <v>1</v>
      </c>
      <c r="G21" s="4" t="n">
        <v>20000</v>
      </c>
      <c r="H21" s="4">
        <f>E21*F21*G21</f>
        <v/>
      </c>
      <c r="I21" s="4" t="n">
        <v>0</v>
      </c>
      <c r="J21" s="4">
        <f>E21*F21*I21</f>
        <v/>
      </c>
      <c r="K21" s="4">
        <f>H21-J21</f>
        <v/>
      </c>
    </row>
    <row r="22">
      <c r="C22" s="2" t="inlineStr">
        <is>
          <t>ИТОГО: ЛОГИСТИКА</t>
        </is>
      </c>
      <c r="D22" t="inlineStr">
        <is>
          <t>45000</t>
        </is>
      </c>
      <c r="E22" t="n">
        <v>10000</v>
      </c>
      <c r="F22" t="n">
        <v>0</v>
      </c>
      <c r="G22" s="4" t="n">
        <v>0</v>
      </c>
      <c r="H22" s="4">
        <f>E22*F22*G22</f>
        <v/>
      </c>
      <c r="I22" s="4" t="n">
        <v>0</v>
      </c>
      <c r="J22" s="4">
        <f>E22*F22*I22</f>
        <v/>
      </c>
      <c r="K22" s="4">
        <f>H22-J22</f>
        <v/>
      </c>
    </row>
    <row r="23">
      <c r="B23" t="n">
        <v>11</v>
      </c>
      <c r="C23" t="inlineStr">
        <is>
          <t>Руководитель проекта (Проектный менеджмент)</t>
        </is>
      </c>
      <c r="D23" t="inlineStr">
        <is>
          <t>чел.</t>
        </is>
      </c>
      <c r="E23" t="n">
        <v>1</v>
      </c>
      <c r="F23" t="n">
        <v>1</v>
      </c>
      <c r="G23" s="4" t="n">
        <v>30000</v>
      </c>
      <c r="H23" s="4">
        <f>E23*F23*G23</f>
        <v/>
      </c>
      <c r="I23" s="4" t="n">
        <v>30000</v>
      </c>
      <c r="J23" s="4">
        <f>E23*F23*I23</f>
        <v/>
      </c>
      <c r="K23" s="4">
        <f>H23-J23</f>
        <v/>
      </c>
    </row>
    <row r="24">
      <c r="B24" t="n">
        <v>12</v>
      </c>
      <c r="C24" t="inlineStr">
        <is>
          <t>Координатор на площадке</t>
        </is>
      </c>
      <c r="D24" t="inlineStr">
        <is>
          <t>чел.</t>
        </is>
      </c>
      <c r="E24" t="n">
        <v>1</v>
      </c>
      <c r="F24" t="n">
        <v>1</v>
      </c>
      <c r="G24" s="4" t="n">
        <v>10000</v>
      </c>
      <c r="H24" s="4">
        <f>E24*F24*G24</f>
        <v/>
      </c>
      <c r="I24" s="4" t="n">
        <v>5000</v>
      </c>
      <c r="J24" s="4">
        <f>E24*F24*I24</f>
        <v/>
      </c>
      <c r="K24" s="4">
        <f>H24-J24</f>
        <v/>
      </c>
    </row>
    <row r="25">
      <c r="B25" t="n">
        <v>13</v>
      </c>
      <c r="C25" t="inlineStr">
        <is>
          <t>Питание персонала (обеды/перекусы)</t>
        </is>
      </c>
      <c r="D25" t="inlineStr">
        <is>
          <t>усл.</t>
        </is>
      </c>
      <c r="E25" t="n">
        <v>1</v>
      </c>
      <c r="F25" t="n">
        <v>1</v>
      </c>
      <c r="G25" s="4" t="n">
        <v>0</v>
      </c>
      <c r="H25" s="4">
        <f>E25*F25*G25</f>
        <v/>
      </c>
      <c r="I25" s="4" t="n">
        <v>3000</v>
      </c>
      <c r="J25" s="4">
        <f>E25*F25*I25</f>
        <v/>
      </c>
      <c r="K25" s="4">
        <f>H25-J25</f>
        <v/>
      </c>
    </row>
    <row r="26">
      <c r="C26" s="2" t="inlineStr">
        <is>
          <t>ИТОГО: АДМИНИСТРИРОВАНИЕ</t>
        </is>
      </c>
      <c r="D26" t="inlineStr">
        <is>
          <t>40000</t>
        </is>
      </c>
      <c r="E26" t="n">
        <v>38000</v>
      </c>
      <c r="F26" t="n">
        <v>0</v>
      </c>
      <c r="G26" s="4" t="n">
        <v>0</v>
      </c>
      <c r="H26" s="4">
        <f>E26*F26*G26</f>
        <v/>
      </c>
      <c r="I26" s="4" t="n">
        <v>0</v>
      </c>
      <c r="J26" s="4">
        <f>E26*F26*I26</f>
        <v/>
      </c>
      <c r="K26" s="4">
        <f>H26-J26</f>
        <v/>
      </c>
    </row>
    <row r="27">
      <c r="C27" s="2" t="inlineStr">
        <is>
          <t>СУММА УСЛУГ (ДО НАЦЕНКИ)</t>
        </is>
      </c>
      <c r="D27" t="inlineStr">
        <is>
          <t>усл.</t>
        </is>
      </c>
      <c r="E27" t="n">
        <v>1</v>
      </c>
      <c r="F27" t="n">
        <v>1</v>
      </c>
      <c r="G27" s="4" t="n">
        <v>238500</v>
      </c>
      <c r="H27" s="4">
        <f>E27*F27*G27</f>
        <v/>
      </c>
      <c r="I27" s="4" t="n">
        <v>130300</v>
      </c>
      <c r="J27" s="4">
        <f>E27*F27*I27</f>
        <v/>
      </c>
      <c r="K27" s="4">
        <f>H27-J27</f>
        <v/>
      </c>
    </row>
    <row r="28">
      <c r="C28" s="2" t="inlineStr">
        <is>
          <t>Агентское вознаграждение и Накладные расходы (10%)</t>
        </is>
      </c>
      <c r="D28" t="inlineStr">
        <is>
          <t>усл.</t>
        </is>
      </c>
      <c r="E28" t="n">
        <v>1</v>
      </c>
      <c r="F28" t="n">
        <v>1</v>
      </c>
      <c r="G28" s="4" t="n">
        <v>23850</v>
      </c>
      <c r="H28" s="4">
        <f>E28*F28*G28</f>
        <v/>
      </c>
      <c r="I28" s="4" t="n">
        <v>0</v>
      </c>
      <c r="J28" s="4">
        <f>E28*F28*I28</f>
        <v/>
      </c>
      <c r="K28" s="4">
        <f>H28-J28</f>
        <v/>
      </c>
    </row>
    <row r="29">
      <c r="C29" s="2" t="inlineStr">
        <is>
          <t>СУММА С ВОЗНАГРАЖДЕНИЕМ</t>
        </is>
      </c>
      <c r="D29" t="inlineStr">
        <is>
          <t>усл.</t>
        </is>
      </c>
      <c r="E29" t="n">
        <v>1</v>
      </c>
      <c r="F29" t="n">
        <v>1</v>
      </c>
      <c r="G29" s="4" t="n">
        <v>262350</v>
      </c>
      <c r="H29" s="4">
        <f>E29*F29*G29</f>
        <v/>
      </c>
      <c r="I29" s="4" t="n">
        <v>130300</v>
      </c>
      <c r="J29" s="4">
        <f>E29*F29*I29</f>
        <v/>
      </c>
      <c r="K29" s="4">
        <f>H29-J29</f>
        <v/>
      </c>
    </row>
    <row r="30">
      <c r="C30" s="2" t="inlineStr">
        <is>
          <t>Налоги (10% от оборота) (262350 / 0.9  0.1)</t>
        </is>
      </c>
      <c r="D30" t="inlineStr">
        <is>
          <t>усл.</t>
        </is>
      </c>
      <c r="E30" t="n">
        <v>1</v>
      </c>
      <c r="F30" t="n">
        <v>1</v>
      </c>
      <c r="G30" s="4" t="n">
        <v>29150</v>
      </c>
      <c r="H30" s="4">
        <f>E30*F30*G30</f>
        <v/>
      </c>
      <c r="I30" s="4" t="n">
        <v>0</v>
      </c>
      <c r="J30" s="4">
        <f>E30*F30*I30</f>
        <v/>
      </c>
      <c r="K30" s="4">
        <f>H30-J30</f>
        <v/>
      </c>
    </row>
    <row r="31">
      <c r="C31" s="2" t="inlineStr">
        <is>
          <t>Всего за тимбилдинг</t>
        </is>
      </c>
      <c r="D31" t="inlineStr">
        <is>
          <t>усл.</t>
        </is>
      </c>
      <c r="E31" t="n">
        <v>1</v>
      </c>
      <c r="F31" t="n">
        <v>1</v>
      </c>
      <c r="G31" s="4" t="n">
        <v>291500</v>
      </c>
      <c r="H31" s="4">
        <f>E31*F31*G31</f>
        <v/>
      </c>
      <c r="I31" s="4" t="n">
        <v>130300</v>
      </c>
      <c r="J31" s="4">
        <f>E31*F31*I31</f>
        <v/>
      </c>
      <c r="K31" s="4">
        <f>H31-J31</f>
        <v/>
      </c>
    </row>
    <row r="32">
      <c r="B32" t="n">
        <v>14</v>
      </c>
      <c r="C32" t="inlineStr">
        <is>
          <t>МАРЖА ПРОЕКТА</t>
        </is>
      </c>
      <c r="D32" t="inlineStr">
        <is>
          <t>усл.</t>
        </is>
      </c>
      <c r="E32" t="n">
        <v>1</v>
      </c>
      <c r="F32" t="n">
        <v>1</v>
      </c>
      <c r="G32" s="4" t="n">
        <v>0</v>
      </c>
      <c r="H32" s="4">
        <f>E32*F32*G32</f>
        <v/>
      </c>
      <c r="I32" s="4" t="n">
        <v>161200</v>
      </c>
      <c r="J32" s="4">
        <f>E32*F32*I32</f>
        <v/>
      </c>
      <c r="K32" s="4">
        <f>H32-J32</f>
        <v/>
      </c>
    </row>
    <row r="34">
      <c r="G34" s="5" t="inlineStr">
        <is>
          <t>ИТОГО К ОПЛАТЕ:</t>
        </is>
      </c>
      <c r="H34" s="6" t="n">
        <v>291500</v>
      </c>
      <c r="J34" s="2" t="inlineStr">
        <is>
          <t>Чистая маржа:</t>
        </is>
      </c>
      <c r="K34" s="7">
        <f>H34-SUM(J10:J32)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2026-02-10T21:30:00Z</dcterms:created>
  <dcterms:modified xsi:type="dcterms:W3CDTF">2026-02-10T21:30:00Z</dcterms:modified>
</cp:coreProperties>
</file>