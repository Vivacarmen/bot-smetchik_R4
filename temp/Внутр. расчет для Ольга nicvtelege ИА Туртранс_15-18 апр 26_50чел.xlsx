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ме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_-&quot;₽&quot;"/>
  </numFmts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FF0000"/>
      <sz val="12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FF9900"/>
        <bgColor rgb="00FF99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64" fontId="1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5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15"/>
  <sheetViews>
    <sheetView workbookViewId="0">
      <selection activeCell="A1" sqref="A1"/>
    </sheetView>
  </sheetViews>
  <sheetFormatPr baseColWidth="8" defaultRowHeight="15"/>
  <cols>
    <col width="50" customWidth="1" min="3" max="3"/>
    <col width="15" customWidth="1" min="8" max="8"/>
  </cols>
  <sheetData>
    <row r="2">
      <c r="C2" s="1" t="inlineStr">
        <is>
          <t>Компания:</t>
        </is>
      </c>
      <c r="D2" s="2" t="inlineStr">
        <is>
          <t>R4</t>
        </is>
      </c>
    </row>
    <row r="3">
      <c r="C3" s="1" t="inlineStr">
        <is>
          <t>Заказчик:</t>
        </is>
      </c>
      <c r="D3" s="2" t="inlineStr">
        <is>
          <t>Ольга, @nicvtelege (ИА Туртранс)</t>
        </is>
      </c>
    </row>
    <row r="4">
      <c r="C4" s="1" t="inlineStr">
        <is>
          <t>Дата:</t>
        </is>
      </c>
      <c r="D4" s="2" t="inlineStr">
        <is>
          <t>15-18 апр 26</t>
        </is>
      </c>
    </row>
    <row r="5">
      <c r="C5" s="1" t="inlineStr">
        <is>
          <t>Участников:</t>
        </is>
      </c>
      <c r="D5" s="2" t="inlineStr">
        <is>
          <t>50</t>
        </is>
      </c>
    </row>
    <row r="8">
      <c r="B8" s="3" t="inlineStr">
        <is>
          <t>№</t>
        </is>
      </c>
      <c r="C8" s="3" t="inlineStr">
        <is>
          <t>Наименование</t>
        </is>
      </c>
      <c r="D8" s="3" t="inlineStr">
        <is>
          <t>Ед.</t>
        </is>
      </c>
      <c r="E8" s="3" t="inlineStr">
        <is>
          <t>Кол-во</t>
        </is>
      </c>
      <c r="F8" s="3" t="inlineStr">
        <is>
          <t>Услуг</t>
        </is>
      </c>
      <c r="G8" s="3" t="inlineStr">
        <is>
          <t>Цена</t>
        </is>
      </c>
      <c r="H8" s="3" t="inlineStr">
        <is>
          <t>Сумма</t>
        </is>
      </c>
      <c r="I8" s="3" t="inlineStr">
        <is>
          <t>Себест.</t>
        </is>
      </c>
      <c r="J8" s="3" t="inlineStr">
        <is>
          <t>Маржа</t>
        </is>
      </c>
    </row>
    <row r="9">
      <c r="B9" s="4" t="n">
        <v>1</v>
      </c>
      <c r="C9" s="4" t="inlineStr">
        <is>
          <t>Ошибка чтения данных от ИИ. Проверьте формат.</t>
        </is>
      </c>
      <c r="D9" s="4" t="inlineStr">
        <is>
          <t>-</t>
        </is>
      </c>
      <c r="E9" s="4" t="n">
        <v>0</v>
      </c>
      <c r="F9" s="4" t="n">
        <v>0</v>
      </c>
      <c r="G9" s="5" t="n">
        <v>0</v>
      </c>
      <c r="H9" s="5">
        <f>E9*F9*G9</f>
        <v/>
      </c>
      <c r="I9" s="5" t="n">
        <v>0</v>
      </c>
      <c r="J9" s="5">
        <f>H9-(E9*F9*I9)</f>
        <v/>
      </c>
    </row>
    <row r="11">
      <c r="G11" s="1" t="inlineStr">
        <is>
          <t>Итого услуги:</t>
        </is>
      </c>
      <c r="H11" s="6">
        <f>SUM(H9:H9)</f>
        <v/>
      </c>
    </row>
    <row r="12">
      <c r="G12" t="inlineStr">
        <is>
          <t>Агентское (10%):</t>
        </is>
      </c>
      <c r="H12" s="7">
        <f>H11*0.1</f>
        <v/>
      </c>
    </row>
    <row r="13">
      <c r="G13" t="inlineStr">
        <is>
          <t>Налоги (10%):</t>
        </is>
      </c>
      <c r="H13" s="7">
        <f>H11*0.1</f>
        <v/>
      </c>
    </row>
    <row r="15">
      <c r="G15" s="8" t="inlineStr">
        <is>
          <t>ВСЕГО К ОПЛАТЕ:</t>
        </is>
      </c>
      <c r="H15" s="9">
        <f>H11+H12+H13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2026-02-09T09:44:11Z</dcterms:created>
  <dcterms:modified xsi:type="dcterms:W3CDTF">2026-02-09T09:44:11Z</dcterms:modified>
</cp:coreProperties>
</file>